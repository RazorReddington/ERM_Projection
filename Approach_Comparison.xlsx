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ygb-my.sharepoint.com/personal/ed_nancarrow_uk_ey_com/Documents/Documents/GitHub/ERM_Projection/"/>
    </mc:Choice>
  </mc:AlternateContent>
  <xr:revisionPtr revIDLastSave="3" documentId="8_{29AC68C8-E757-493A-B911-7B2B199329BA}" xr6:coauthVersionLast="47" xr6:coauthVersionMax="47" xr10:uidLastSave="{314CD1B4-5DA7-44FB-9EAA-0B00F3D38A07}"/>
  <bookViews>
    <workbookView xWindow="-28920" yWindow="-60" windowWidth="29040" windowHeight="15720" xr2:uid="{8C836412-72CC-4399-810F-3A717AA3832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4" i="1"/>
  <c r="D4" i="1" s="1"/>
  <c r="C6" i="1"/>
  <c r="C7" i="1"/>
  <c r="C8" i="1"/>
  <c r="C9" i="1"/>
  <c r="C10" i="1"/>
  <c r="C11" i="1"/>
  <c r="B4" i="1"/>
  <c r="F4" i="1"/>
  <c r="G4" i="1" s="1"/>
  <c r="H4" i="1" s="1"/>
  <c r="F5" i="1" s="1"/>
  <c r="D5" i="1" l="1"/>
  <c r="L4" i="1"/>
  <c r="M4" i="1" s="1"/>
  <c r="J4" i="1"/>
  <c r="G5" i="1"/>
  <c r="H5" i="1" s="1"/>
  <c r="J5" i="1" s="1"/>
  <c r="I4" i="1"/>
  <c r="B5" i="1"/>
  <c r="N4" i="1" l="1"/>
  <c r="L5" i="1" s="1"/>
  <c r="B6" i="1"/>
  <c r="I5" i="1"/>
  <c r="F6" i="1"/>
  <c r="D6" i="1"/>
  <c r="M5" i="1" l="1"/>
  <c r="N5" i="1"/>
  <c r="L6" i="1" s="1"/>
  <c r="D7" i="1"/>
  <c r="B7" i="1"/>
  <c r="G6" i="1"/>
  <c r="H6" i="1"/>
  <c r="M6" i="1" l="1"/>
  <c r="N6" i="1"/>
  <c r="L7" i="1" s="1"/>
  <c r="B8" i="1"/>
  <c r="D8" i="1"/>
  <c r="F7" i="1"/>
  <c r="G7" i="1" s="1"/>
  <c r="H7" i="1" s="1"/>
  <c r="J7" i="1" s="1"/>
  <c r="J6" i="1"/>
  <c r="I6" i="1"/>
  <c r="M7" i="1" l="1"/>
  <c r="N7" i="1" s="1"/>
  <c r="L8" i="1"/>
  <c r="M8" i="1" s="1"/>
  <c r="N8" i="1" s="1"/>
  <c r="F8" i="1"/>
  <c r="G8" i="1" s="1"/>
  <c r="H8" i="1" s="1"/>
  <c r="J8" i="1" s="1"/>
  <c r="I7" i="1"/>
  <c r="B9" i="1"/>
  <c r="D9" i="1"/>
  <c r="L9" i="1" l="1"/>
  <c r="M9" i="1"/>
  <c r="N9" i="1" s="1"/>
  <c r="L10" i="1" s="1"/>
  <c r="B10" i="1"/>
  <c r="D10" i="1"/>
  <c r="I8" i="1"/>
  <c r="F9" i="1"/>
  <c r="M10" i="1" l="1"/>
  <c r="N10" i="1" s="1"/>
  <c r="B11" i="1"/>
  <c r="D11" i="1"/>
  <c r="G9" i="1"/>
  <c r="H9" i="1" s="1"/>
  <c r="J9" i="1" s="1"/>
  <c r="B12" i="1" l="1"/>
  <c r="D12" i="1"/>
  <c r="L11" i="1"/>
  <c r="I9" i="1"/>
  <c r="F10" i="1"/>
  <c r="M11" i="1" l="1"/>
  <c r="N11" i="1" s="1"/>
  <c r="B13" i="1"/>
  <c r="D13" i="1"/>
  <c r="G10" i="1"/>
  <c r="H10" i="1" s="1"/>
  <c r="J10" i="1" s="1"/>
  <c r="D14" i="1" l="1"/>
  <c r="B14" i="1"/>
  <c r="L12" i="1"/>
  <c r="M12" i="1" s="1"/>
  <c r="N12" i="1" s="1"/>
  <c r="L13" i="1" s="1"/>
  <c r="I10" i="1"/>
  <c r="F11" i="1"/>
  <c r="M13" i="1" l="1"/>
  <c r="B15" i="1"/>
  <c r="D15" i="1"/>
  <c r="G11" i="1"/>
  <c r="H11" i="1" s="1"/>
  <c r="F12" i="1" s="1"/>
  <c r="G12" i="1" l="1"/>
  <c r="H12" i="1"/>
  <c r="B16" i="1"/>
  <c r="D16" i="1"/>
  <c r="N13" i="1"/>
  <c r="L14" i="1" s="1"/>
  <c r="I11" i="1"/>
  <c r="J11" i="1"/>
  <c r="F13" i="1" l="1"/>
  <c r="G13" i="1" s="1"/>
  <c r="H13" i="1" s="1"/>
  <c r="J12" i="1"/>
  <c r="I12" i="1"/>
  <c r="M14" i="1"/>
  <c r="N14" i="1" s="1"/>
  <c r="D17" i="1"/>
  <c r="B17" i="1"/>
  <c r="F14" i="1" l="1"/>
  <c r="G14" i="1" s="1"/>
  <c r="H14" i="1" s="1"/>
  <c r="J13" i="1"/>
  <c r="I13" i="1"/>
  <c r="L15" i="1"/>
  <c r="B18" i="1"/>
  <c r="D18" i="1"/>
  <c r="J14" i="1" l="1"/>
  <c r="F15" i="1"/>
  <c r="I14" i="1"/>
  <c r="M15" i="1"/>
  <c r="N15" i="1" s="1"/>
  <c r="L16" i="1" s="1"/>
  <c r="B19" i="1"/>
  <c r="D19" i="1"/>
  <c r="G15" i="1" l="1"/>
  <c r="H15" i="1" s="1"/>
  <c r="M16" i="1"/>
  <c r="N16" i="1" s="1"/>
  <c r="L17" i="1" s="1"/>
  <c r="D20" i="1"/>
  <c r="B20" i="1"/>
  <c r="J15" i="1" l="1"/>
  <c r="F16" i="1"/>
  <c r="I15" i="1"/>
  <c r="M17" i="1"/>
  <c r="N17" i="1" s="1"/>
  <c r="L18" i="1" s="1"/>
  <c r="M18" i="1" s="1"/>
  <c r="N18" i="1" s="1"/>
  <c r="L19" i="1" s="1"/>
  <c r="B21" i="1"/>
  <c r="D21" i="1"/>
  <c r="G16" i="1" l="1"/>
  <c r="H16" i="1" s="1"/>
  <c r="M19" i="1"/>
  <c r="N19" i="1" s="1"/>
  <c r="L20" i="1"/>
  <c r="D22" i="1"/>
  <c r="B22" i="1"/>
  <c r="J16" i="1" l="1"/>
  <c r="F17" i="1"/>
  <c r="I16" i="1"/>
  <c r="B23" i="1"/>
  <c r="D23" i="1"/>
  <c r="M20" i="1"/>
  <c r="N20" i="1" s="1"/>
  <c r="L21" i="1" s="1"/>
  <c r="G17" i="1" l="1"/>
  <c r="H17" i="1"/>
  <c r="M21" i="1"/>
  <c r="N21" i="1" s="1"/>
  <c r="L22" i="1" s="1"/>
  <c r="B24" i="1"/>
  <c r="D24" i="1"/>
  <c r="F18" i="1" l="1"/>
  <c r="J17" i="1"/>
  <c r="I17" i="1"/>
  <c r="M22" i="1"/>
  <c r="N22" i="1" s="1"/>
  <c r="D25" i="1"/>
  <c r="B25" i="1"/>
  <c r="G18" i="1" l="1"/>
  <c r="H18" i="1" s="1"/>
  <c r="L23" i="1"/>
  <c r="M23" i="1" s="1"/>
  <c r="N23" i="1" s="1"/>
  <c r="L24" i="1" s="1"/>
  <c r="D26" i="1"/>
  <c r="B26" i="1"/>
  <c r="I18" i="1" l="1"/>
  <c r="F19" i="1"/>
  <c r="J18" i="1"/>
  <c r="M24" i="1"/>
  <c r="N24" i="1" s="1"/>
  <c r="L25" i="1" s="1"/>
  <c r="B27" i="1"/>
  <c r="D27" i="1"/>
  <c r="G19" i="1" l="1"/>
  <c r="H19" i="1"/>
  <c r="M25" i="1"/>
  <c r="N25" i="1" s="1"/>
  <c r="B28" i="1"/>
  <c r="D28" i="1"/>
  <c r="I19" i="1" l="1"/>
  <c r="F20" i="1"/>
  <c r="G20" i="1" s="1"/>
  <c r="H20" i="1" s="1"/>
  <c r="J19" i="1"/>
  <c r="D29" i="1"/>
  <c r="B29" i="1"/>
  <c r="L26" i="1"/>
  <c r="F21" i="1" l="1"/>
  <c r="G21" i="1" s="1"/>
  <c r="H21" i="1" s="1"/>
  <c r="I20" i="1"/>
  <c r="J20" i="1"/>
  <c r="M26" i="1"/>
  <c r="N26" i="1" s="1"/>
  <c r="B30" i="1"/>
  <c r="D30" i="1"/>
  <c r="J21" i="1" l="1"/>
  <c r="I21" i="1"/>
  <c r="F22" i="1"/>
  <c r="G22" i="1" s="1"/>
  <c r="H22" i="1" s="1"/>
  <c r="B31" i="1"/>
  <c r="D31" i="1"/>
  <c r="L27" i="1"/>
  <c r="F23" i="1" l="1"/>
  <c r="G23" i="1" s="1"/>
  <c r="H23" i="1" s="1"/>
  <c r="I22" i="1"/>
  <c r="J22" i="1"/>
  <c r="M27" i="1"/>
  <c r="N27" i="1" s="1"/>
  <c r="L28" i="1" s="1"/>
  <c r="D32" i="1"/>
  <c r="B32" i="1"/>
  <c r="F24" i="1" l="1"/>
  <c r="J23" i="1"/>
  <c r="I23" i="1"/>
  <c r="M28" i="1"/>
  <c r="N28" i="1" s="1"/>
  <c r="L29" i="1" s="1"/>
  <c r="B33" i="1"/>
  <c r="D33" i="1"/>
  <c r="G24" i="1" l="1"/>
  <c r="H24" i="1"/>
  <c r="M29" i="1"/>
  <c r="B34" i="1"/>
  <c r="D34" i="1"/>
  <c r="F25" i="1" l="1"/>
  <c r="I24" i="1"/>
  <c r="J24" i="1"/>
  <c r="D35" i="1"/>
  <c r="B35" i="1"/>
  <c r="N29" i="1"/>
  <c r="L30" i="1" s="1"/>
  <c r="G25" i="1" l="1"/>
  <c r="H25" i="1"/>
  <c r="M30" i="1"/>
  <c r="B36" i="1"/>
  <c r="D36" i="1"/>
  <c r="J25" i="1" l="1"/>
  <c r="I25" i="1"/>
  <c r="F26" i="1"/>
  <c r="B37" i="1"/>
  <c r="D37" i="1"/>
  <c r="N30" i="1"/>
  <c r="L31" i="1" s="1"/>
  <c r="M31" i="1" s="1"/>
  <c r="N31" i="1" s="1"/>
  <c r="L32" i="1" s="1"/>
  <c r="G26" i="1" l="1"/>
  <c r="H26" i="1"/>
  <c r="M32" i="1"/>
  <c r="N32" i="1" s="1"/>
  <c r="B38" i="1"/>
  <c r="D38" i="1"/>
  <c r="F27" i="1" l="1"/>
  <c r="G27" i="1" s="1"/>
  <c r="H27" i="1" s="1"/>
  <c r="I26" i="1"/>
  <c r="J26" i="1"/>
  <c r="B39" i="1"/>
  <c r="D39" i="1"/>
  <c r="L33" i="1"/>
  <c r="J27" i="1" l="1"/>
  <c r="F28" i="1"/>
  <c r="G28" i="1" s="1"/>
  <c r="H28" i="1" s="1"/>
  <c r="I27" i="1"/>
  <c r="M33" i="1"/>
  <c r="D40" i="1"/>
  <c r="B40" i="1"/>
  <c r="F29" i="1" l="1"/>
  <c r="J28" i="1"/>
  <c r="I28" i="1"/>
  <c r="B41" i="1"/>
  <c r="D41" i="1"/>
  <c r="N33" i="1"/>
  <c r="L34" i="1" s="1"/>
  <c r="G29" i="1" l="1"/>
  <c r="H29" i="1" s="1"/>
  <c r="M34" i="1"/>
  <c r="N34" i="1" s="1"/>
  <c r="L35" i="1" s="1"/>
  <c r="B42" i="1"/>
  <c r="D42" i="1"/>
  <c r="F30" i="1" l="1"/>
  <c r="J29" i="1"/>
  <c r="I29" i="1"/>
  <c r="D43" i="1"/>
  <c r="B43" i="1"/>
  <c r="M35" i="1"/>
  <c r="N35" i="1" s="1"/>
  <c r="L36" i="1" l="1"/>
  <c r="G30" i="1"/>
  <c r="H30" i="1"/>
  <c r="M36" i="1"/>
  <c r="N36" i="1" s="1"/>
  <c r="L37" i="1"/>
  <c r="D44" i="1"/>
  <c r="B44" i="1"/>
  <c r="J30" i="1" l="1"/>
  <c r="F31" i="1"/>
  <c r="I30" i="1"/>
  <c r="D45" i="1"/>
  <c r="B45" i="1"/>
  <c r="M37" i="1"/>
  <c r="N37" i="1" s="1"/>
  <c r="L38" i="1" s="1"/>
  <c r="G31" i="1" l="1"/>
  <c r="H31" i="1" s="1"/>
  <c r="M38" i="1"/>
  <c r="B46" i="1"/>
  <c r="D46" i="1"/>
  <c r="F32" i="1" l="1"/>
  <c r="G32" i="1" s="1"/>
  <c r="H32" i="1" s="1"/>
  <c r="J31" i="1"/>
  <c r="I31" i="1"/>
  <c r="N38" i="1"/>
  <c r="L39" i="1" s="1"/>
  <c r="M39" i="1" s="1"/>
  <c r="N39" i="1" s="1"/>
  <c r="L40" i="1" s="1"/>
  <c r="D47" i="1"/>
  <c r="B47" i="1"/>
  <c r="F33" i="1" l="1"/>
  <c r="G33" i="1" s="1"/>
  <c r="H33" i="1" s="1"/>
  <c r="J32" i="1"/>
  <c r="I32" i="1"/>
  <c r="M40" i="1"/>
  <c r="N40" i="1" s="1"/>
  <c r="D48" i="1"/>
  <c r="B48" i="1"/>
  <c r="J33" i="1" l="1"/>
  <c r="F34" i="1"/>
  <c r="G34" i="1" s="1"/>
  <c r="H34" i="1" s="1"/>
  <c r="I33" i="1"/>
  <c r="L41" i="1"/>
  <c r="M41" i="1" s="1"/>
  <c r="B49" i="1"/>
  <c r="D49" i="1"/>
  <c r="F35" i="1" l="1"/>
  <c r="J34" i="1"/>
  <c r="I34" i="1"/>
  <c r="N41" i="1"/>
  <c r="L42" i="1" s="1"/>
  <c r="M42" i="1" s="1"/>
  <c r="N42" i="1" s="1"/>
  <c r="L43" i="1" s="1"/>
  <c r="B50" i="1"/>
  <c r="D50" i="1"/>
  <c r="G35" i="1" l="1"/>
  <c r="H35" i="1"/>
  <c r="M43" i="1"/>
  <c r="N43" i="1" s="1"/>
  <c r="L44" i="1" s="1"/>
  <c r="D51" i="1"/>
  <c r="B51" i="1"/>
  <c r="F36" i="1" l="1"/>
  <c r="G36" i="1" s="1"/>
  <c r="H36" i="1" s="1"/>
  <c r="J35" i="1"/>
  <c r="I35" i="1"/>
  <c r="M44" i="1"/>
  <c r="N44" i="1" s="1"/>
  <c r="B52" i="1"/>
  <c r="D52" i="1"/>
  <c r="L45" i="1" l="1"/>
  <c r="J36" i="1"/>
  <c r="F37" i="1"/>
  <c r="G37" i="1" s="1"/>
  <c r="H37" i="1" s="1"/>
  <c r="I36" i="1"/>
  <c r="D53" i="1"/>
  <c r="B53" i="1"/>
  <c r="M45" i="1"/>
  <c r="N45" i="1" s="1"/>
  <c r="L46" i="1" s="1"/>
  <c r="J37" i="1" l="1"/>
  <c r="F38" i="1"/>
  <c r="I37" i="1"/>
  <c r="B54" i="1"/>
  <c r="D54" i="1"/>
  <c r="M46" i="1"/>
  <c r="N46" i="1" s="1"/>
  <c r="G38" i="1" l="1"/>
  <c r="H38" i="1"/>
  <c r="L47" i="1"/>
  <c r="D55" i="1"/>
  <c r="B55" i="1"/>
  <c r="J38" i="1" l="1"/>
  <c r="F39" i="1"/>
  <c r="G39" i="1" s="1"/>
  <c r="H39" i="1" s="1"/>
  <c r="I38" i="1"/>
  <c r="B56" i="1"/>
  <c r="D56" i="1"/>
  <c r="M47" i="1"/>
  <c r="N47" i="1"/>
  <c r="J39" i="1" l="1"/>
  <c r="F40" i="1"/>
  <c r="G40" i="1" s="1"/>
  <c r="H40" i="1" s="1"/>
  <c r="I39" i="1"/>
  <c r="L48" i="1"/>
  <c r="M48" i="1" s="1"/>
  <c r="N48" i="1" s="1"/>
  <c r="L49" i="1" s="1"/>
  <c r="M49" i="1" s="1"/>
  <c r="N49" i="1" s="1"/>
  <c r="D57" i="1"/>
  <c r="B57" i="1"/>
  <c r="J40" i="1" l="1"/>
  <c r="F41" i="1"/>
  <c r="G41" i="1" s="1"/>
  <c r="H41" i="1" s="1"/>
  <c r="I40" i="1"/>
  <c r="B58" i="1"/>
  <c r="D58" i="1"/>
  <c r="L50" i="1"/>
  <c r="F42" i="1" l="1"/>
  <c r="J41" i="1"/>
  <c r="I41" i="1"/>
  <c r="M50" i="1"/>
  <c r="N50" i="1" s="1"/>
  <c r="L51" i="1" s="1"/>
  <c r="B59" i="1"/>
  <c r="D59" i="1"/>
  <c r="G42" i="1" l="1"/>
  <c r="H42" i="1" s="1"/>
  <c r="M51" i="1"/>
  <c r="N51" i="1" s="1"/>
  <c r="D60" i="1"/>
  <c r="B60" i="1"/>
  <c r="J42" i="1" l="1"/>
  <c r="F43" i="1"/>
  <c r="G43" i="1" s="1"/>
  <c r="H43" i="1" s="1"/>
  <c r="I42" i="1"/>
  <c r="B61" i="1"/>
  <c r="D61" i="1"/>
  <c r="L52" i="1"/>
  <c r="F44" i="1" l="1"/>
  <c r="J43" i="1"/>
  <c r="I43" i="1"/>
  <c r="M52" i="1"/>
  <c r="N52" i="1" s="1"/>
  <c r="L53" i="1"/>
  <c r="D62" i="1"/>
  <c r="B62" i="1"/>
  <c r="G44" i="1" l="1"/>
  <c r="H44" i="1"/>
  <c r="M53" i="1"/>
  <c r="N53" i="1" s="1"/>
  <c r="D63" i="1"/>
  <c r="B63" i="1"/>
  <c r="F45" i="1" l="1"/>
  <c r="G45" i="1" s="1"/>
  <c r="H45" i="1" s="1"/>
  <c r="J44" i="1"/>
  <c r="I44" i="1"/>
  <c r="D64" i="1"/>
  <c r="B64" i="1"/>
  <c r="L54" i="1"/>
  <c r="J45" i="1" l="1"/>
  <c r="F46" i="1"/>
  <c r="I45" i="1"/>
  <c r="M54" i="1"/>
  <c r="N54" i="1"/>
  <c r="B65" i="1"/>
  <c r="D65" i="1"/>
  <c r="G46" i="1" l="1"/>
  <c r="H46" i="1" s="1"/>
  <c r="L55" i="1"/>
  <c r="B66" i="1"/>
  <c r="D66" i="1"/>
  <c r="F47" i="1" l="1"/>
  <c r="J46" i="1"/>
  <c r="I46" i="1"/>
  <c r="D67" i="1"/>
  <c r="B67" i="1"/>
  <c r="M55" i="1"/>
  <c r="N55" i="1" s="1"/>
  <c r="L56" i="1" l="1"/>
  <c r="M56" i="1" s="1"/>
  <c r="N56" i="1" s="1"/>
  <c r="L57" i="1" s="1"/>
  <c r="G47" i="1"/>
  <c r="H47" i="1" s="1"/>
  <c r="M57" i="1"/>
  <c r="N57" i="1" s="1"/>
  <c r="L58" i="1" s="1"/>
  <c r="D68" i="1"/>
  <c r="B68" i="1"/>
  <c r="F48" i="1" l="1"/>
  <c r="J47" i="1"/>
  <c r="I47" i="1"/>
  <c r="M58" i="1"/>
  <c r="N58" i="1" s="1"/>
  <c r="D69" i="1"/>
  <c r="B69" i="1"/>
  <c r="G48" i="1" l="1"/>
  <c r="H48" i="1" s="1"/>
  <c r="B70" i="1"/>
  <c r="D70" i="1"/>
  <c r="L59" i="1"/>
  <c r="F49" i="1" l="1"/>
  <c r="G49" i="1" s="1"/>
  <c r="H49" i="1" s="1"/>
  <c r="J48" i="1"/>
  <c r="I48" i="1"/>
  <c r="M59" i="1"/>
  <c r="N59" i="1" s="1"/>
  <c r="L60" i="1" s="1"/>
  <c r="D71" i="1"/>
  <c r="B71" i="1"/>
  <c r="F50" i="1" l="1"/>
  <c r="J49" i="1"/>
  <c r="I49" i="1"/>
  <c r="M60" i="1"/>
  <c r="N60" i="1" s="1"/>
  <c r="B72" i="1"/>
  <c r="D72" i="1"/>
  <c r="G50" i="1" l="1"/>
  <c r="H50" i="1"/>
  <c r="B73" i="1"/>
  <c r="D73" i="1"/>
  <c r="L61" i="1"/>
  <c r="F51" i="1" l="1"/>
  <c r="G51" i="1" s="1"/>
  <c r="H51" i="1" s="1"/>
  <c r="J50" i="1"/>
  <c r="I50" i="1"/>
  <c r="M61" i="1"/>
  <c r="B74" i="1"/>
  <c r="D74" i="1"/>
  <c r="F52" i="1" l="1"/>
  <c r="J51" i="1"/>
  <c r="I51" i="1"/>
  <c r="B75" i="1"/>
  <c r="D75" i="1"/>
  <c r="N61" i="1"/>
  <c r="L62" i="1" s="1"/>
  <c r="G52" i="1" l="1"/>
  <c r="H52" i="1" s="1"/>
  <c r="M62" i="1"/>
  <c r="N62" i="1" s="1"/>
  <c r="L63" i="1" s="1"/>
  <c r="B76" i="1"/>
  <c r="D76" i="1"/>
  <c r="J52" i="1" l="1"/>
  <c r="F53" i="1"/>
  <c r="I52" i="1"/>
  <c r="M63" i="1"/>
  <c r="N63" i="1" s="1"/>
  <c r="L64" i="1" s="1"/>
  <c r="D77" i="1"/>
  <c r="B77" i="1"/>
  <c r="G53" i="1" l="1"/>
  <c r="H53" i="1"/>
  <c r="M64" i="1"/>
  <c r="N64" i="1" s="1"/>
  <c r="L65" i="1" s="1"/>
  <c r="B78" i="1"/>
  <c r="D78" i="1"/>
  <c r="I53" i="1" l="1"/>
  <c r="J53" i="1"/>
  <c r="F54" i="1"/>
  <c r="G54" i="1" s="1"/>
  <c r="H54" i="1" s="1"/>
  <c r="M65" i="1"/>
  <c r="B79" i="1"/>
  <c r="D79" i="1"/>
  <c r="F55" i="1" l="1"/>
  <c r="G55" i="1" s="1"/>
  <c r="H55" i="1" s="1"/>
  <c r="I54" i="1"/>
  <c r="J54" i="1"/>
  <c r="D80" i="1"/>
  <c r="B80" i="1"/>
  <c r="N65" i="1"/>
  <c r="L66" i="1" s="1"/>
  <c r="I55" i="1" l="1"/>
  <c r="F56" i="1"/>
  <c r="G56" i="1" s="1"/>
  <c r="H56" i="1" s="1"/>
  <c r="J55" i="1"/>
  <c r="M66" i="1"/>
  <c r="N66" i="1" s="1"/>
  <c r="L67" i="1" s="1"/>
  <c r="D81" i="1"/>
  <c r="B81" i="1"/>
  <c r="F57" i="1" l="1"/>
  <c r="G57" i="1" s="1"/>
  <c r="H57" i="1" s="1"/>
  <c r="I56" i="1"/>
  <c r="J56" i="1"/>
  <c r="M67" i="1"/>
  <c r="N67" i="1" s="1"/>
  <c r="B82" i="1"/>
  <c r="D82" i="1"/>
  <c r="I57" i="1" l="1"/>
  <c r="F58" i="1"/>
  <c r="G58" i="1" s="1"/>
  <c r="H58" i="1" s="1"/>
  <c r="J57" i="1"/>
  <c r="D83" i="1"/>
  <c r="B83" i="1"/>
  <c r="L68" i="1"/>
  <c r="J58" i="1" l="1"/>
  <c r="I58" i="1"/>
  <c r="F59" i="1"/>
  <c r="G59" i="1" s="1"/>
  <c r="H59" i="1" s="1"/>
  <c r="M68" i="1"/>
  <c r="N68" i="1" s="1"/>
  <c r="D84" i="1"/>
  <c r="B84" i="1"/>
  <c r="F60" i="1" l="1"/>
  <c r="I59" i="1"/>
  <c r="J59" i="1"/>
  <c r="B85" i="1"/>
  <c r="D85" i="1"/>
  <c r="L69" i="1"/>
  <c r="G60" i="1" l="1"/>
  <c r="H60" i="1" s="1"/>
  <c r="M69" i="1"/>
  <c r="N69" i="1" s="1"/>
  <c r="D86" i="1"/>
  <c r="B86" i="1"/>
  <c r="J60" i="1" l="1"/>
  <c r="I60" i="1"/>
  <c r="F61" i="1"/>
  <c r="B87" i="1"/>
  <c r="D87" i="1"/>
  <c r="L70" i="1"/>
  <c r="G61" i="1" l="1"/>
  <c r="H61" i="1" s="1"/>
  <c r="D88" i="1"/>
  <c r="B88" i="1"/>
  <c r="M70" i="1"/>
  <c r="N70" i="1" s="1"/>
  <c r="L71" i="1" s="1"/>
  <c r="J61" i="1" l="1"/>
  <c r="F62" i="1"/>
  <c r="G62" i="1" s="1"/>
  <c r="H62" i="1" s="1"/>
  <c r="I61" i="1"/>
  <c r="M71" i="1"/>
  <c r="N71" i="1" s="1"/>
  <c r="L72" i="1" s="1"/>
  <c r="M72" i="1" s="1"/>
  <c r="N72" i="1" s="1"/>
  <c r="L73" i="1" s="1"/>
  <c r="D89" i="1"/>
  <c r="B89" i="1"/>
  <c r="J62" i="1" l="1"/>
  <c r="I62" i="1"/>
  <c r="F63" i="1"/>
  <c r="D90" i="1"/>
  <c r="B90" i="1"/>
  <c r="M73" i="1"/>
  <c r="N73" i="1" s="1"/>
  <c r="L74" i="1" s="1"/>
  <c r="M74" i="1" s="1"/>
  <c r="N74" i="1" s="1"/>
  <c r="L75" i="1" s="1"/>
  <c r="G63" i="1" l="1"/>
  <c r="H63" i="1" s="1"/>
  <c r="M75" i="1"/>
  <c r="N75" i="1"/>
  <c r="L76" i="1" s="1"/>
  <c r="M76" i="1" s="1"/>
  <c r="N76" i="1" s="1"/>
  <c r="L77" i="1" s="1"/>
  <c r="D91" i="1"/>
  <c r="B91" i="1"/>
  <c r="F64" i="1" l="1"/>
  <c r="J63" i="1"/>
  <c r="I63" i="1"/>
  <c r="M77" i="1"/>
  <c r="N77" i="1" s="1"/>
  <c r="D92" i="1"/>
  <c r="B92" i="1"/>
  <c r="G64" i="1" l="1"/>
  <c r="H64" i="1"/>
  <c r="D93" i="1"/>
  <c r="B93" i="1"/>
  <c r="L78" i="1"/>
  <c r="F65" i="1" l="1"/>
  <c r="J64" i="1"/>
  <c r="I64" i="1"/>
  <c r="M78" i="1"/>
  <c r="N78" i="1" s="1"/>
  <c r="L79" i="1" s="1"/>
  <c r="B94" i="1"/>
  <c r="D94" i="1"/>
  <c r="G65" i="1" l="1"/>
  <c r="H65" i="1"/>
  <c r="M79" i="1"/>
  <c r="N79" i="1" s="1"/>
  <c r="L80" i="1" s="1"/>
  <c r="D95" i="1"/>
  <c r="B95" i="1"/>
  <c r="J65" i="1" l="1"/>
  <c r="I65" i="1"/>
  <c r="F66" i="1"/>
  <c r="M80" i="1"/>
  <c r="N80" i="1" s="1"/>
  <c r="B96" i="1"/>
  <c r="D96" i="1"/>
  <c r="L81" i="1" l="1"/>
  <c r="G66" i="1"/>
  <c r="H66" i="1"/>
  <c r="D97" i="1"/>
  <c r="B97" i="1"/>
  <c r="M81" i="1"/>
  <c r="N81" i="1" s="1"/>
  <c r="L82" i="1" s="1"/>
  <c r="F67" i="1" l="1"/>
  <c r="G67" i="1" s="1"/>
  <c r="H67" i="1" s="1"/>
  <c r="I66" i="1"/>
  <c r="J66" i="1"/>
  <c r="M82" i="1"/>
  <c r="B98" i="1"/>
  <c r="D98" i="1"/>
  <c r="N82" i="1" l="1"/>
  <c r="L83" i="1" s="1"/>
  <c r="M83" i="1" s="1"/>
  <c r="N83" i="1" s="1"/>
  <c r="L84" i="1" s="1"/>
  <c r="J67" i="1"/>
  <c r="F68" i="1"/>
  <c r="G68" i="1" s="1"/>
  <c r="H68" i="1" s="1"/>
  <c r="I67" i="1"/>
  <c r="D99" i="1"/>
  <c r="B99" i="1"/>
  <c r="M84" i="1" l="1"/>
  <c r="N84" i="1" s="1"/>
  <c r="J68" i="1"/>
  <c r="F69" i="1"/>
  <c r="G69" i="1" s="1"/>
  <c r="H69" i="1" s="1"/>
  <c r="I68" i="1"/>
  <c r="B100" i="1"/>
  <c r="D100" i="1"/>
  <c r="F70" i="1" l="1"/>
  <c r="J69" i="1"/>
  <c r="I69" i="1"/>
  <c r="L85" i="1"/>
  <c r="M85" i="1" s="1"/>
  <c r="N85" i="1" s="1"/>
  <c r="L86" i="1" s="1"/>
  <c r="M86" i="1" s="1"/>
  <c r="B101" i="1"/>
  <c r="D101" i="1"/>
  <c r="G70" i="1" l="1"/>
  <c r="H70" i="1" s="1"/>
  <c r="D102" i="1"/>
  <c r="B102" i="1"/>
  <c r="N86" i="1"/>
  <c r="L87" i="1" s="1"/>
  <c r="J70" i="1" l="1"/>
  <c r="F71" i="1"/>
  <c r="G71" i="1" s="1"/>
  <c r="H71" i="1" s="1"/>
  <c r="I70" i="1"/>
  <c r="M87" i="1"/>
  <c r="N87" i="1" s="1"/>
  <c r="D103" i="1"/>
  <c r="B103" i="1"/>
  <c r="F72" i="1" l="1"/>
  <c r="J71" i="1"/>
  <c r="I71" i="1"/>
  <c r="L88" i="1"/>
  <c r="B104" i="1"/>
  <c r="D104" i="1"/>
  <c r="G72" i="1" l="1"/>
  <c r="H72" i="1"/>
  <c r="B105" i="1"/>
  <c r="D105" i="1"/>
  <c r="M88" i="1"/>
  <c r="N88" i="1" s="1"/>
  <c r="L89" i="1" s="1"/>
  <c r="F73" i="1" l="1"/>
  <c r="G73" i="1" s="1"/>
  <c r="H73" i="1" s="1"/>
  <c r="J72" i="1"/>
  <c r="I72" i="1"/>
  <c r="M89" i="1"/>
  <c r="N89" i="1" s="1"/>
  <c r="L90" i="1" s="1"/>
  <c r="B106" i="1"/>
  <c r="D106" i="1"/>
  <c r="J73" i="1" l="1"/>
  <c r="F74" i="1"/>
  <c r="I73" i="1"/>
  <c r="B107" i="1"/>
  <c r="D107" i="1"/>
  <c r="M90" i="1"/>
  <c r="N90" i="1" s="1"/>
  <c r="L91" i="1" s="1"/>
  <c r="G74" i="1" l="1"/>
  <c r="H74" i="1" s="1"/>
  <c r="M91" i="1"/>
  <c r="N91" i="1" s="1"/>
  <c r="L92" i="1" s="1"/>
  <c r="B108" i="1"/>
  <c r="D108" i="1"/>
  <c r="F75" i="1" l="1"/>
  <c r="G75" i="1" s="1"/>
  <c r="H75" i="1" s="1"/>
  <c r="J74" i="1"/>
  <c r="I74" i="1"/>
  <c r="M92" i="1"/>
  <c r="N92" i="1" s="1"/>
  <c r="D109" i="1"/>
  <c r="B109" i="1"/>
  <c r="F76" i="1" l="1"/>
  <c r="G76" i="1" s="1"/>
  <c r="H76" i="1" s="1"/>
  <c r="I75" i="1"/>
  <c r="J75" i="1"/>
  <c r="D110" i="1"/>
  <c r="B110" i="1"/>
  <c r="L93" i="1"/>
  <c r="J76" i="1" l="1"/>
  <c r="F77" i="1"/>
  <c r="G77" i="1" s="1"/>
  <c r="H77" i="1" s="1"/>
  <c r="I76" i="1"/>
  <c r="M93" i="1"/>
  <c r="N93" i="1" s="1"/>
  <c r="L94" i="1" s="1"/>
  <c r="D111" i="1"/>
  <c r="B111" i="1"/>
  <c r="J77" i="1" l="1"/>
  <c r="F78" i="1"/>
  <c r="G78" i="1" s="1"/>
  <c r="H78" i="1" s="1"/>
  <c r="I77" i="1"/>
  <c r="M94" i="1"/>
  <c r="N94" i="1" s="1"/>
  <c r="L95" i="1" s="1"/>
  <c r="D112" i="1"/>
  <c r="B112" i="1"/>
  <c r="J78" i="1" l="1"/>
  <c r="F79" i="1"/>
  <c r="G79" i="1" s="1"/>
  <c r="H79" i="1" s="1"/>
  <c r="I78" i="1"/>
  <c r="M95" i="1"/>
  <c r="N95" i="1"/>
  <c r="B113" i="1"/>
  <c r="D113" i="1"/>
  <c r="L96" i="1" l="1"/>
  <c r="F80" i="1"/>
  <c r="G80" i="1" s="1"/>
  <c r="H80" i="1" s="1"/>
  <c r="J79" i="1"/>
  <c r="I79" i="1"/>
  <c r="B114" i="1"/>
  <c r="D114" i="1"/>
  <c r="M96" i="1"/>
  <c r="N96" i="1" s="1"/>
  <c r="L97" i="1"/>
  <c r="I80" i="1" l="1"/>
  <c r="F81" i="1"/>
  <c r="G81" i="1" s="1"/>
  <c r="H81" i="1" s="1"/>
  <c r="J80" i="1"/>
  <c r="M97" i="1"/>
  <c r="N97" i="1" s="1"/>
  <c r="L98" i="1" s="1"/>
  <c r="M98" i="1" s="1"/>
  <c r="N98" i="1" s="1"/>
  <c r="L99" i="1" s="1"/>
  <c r="B115" i="1"/>
  <c r="D115" i="1"/>
  <c r="I81" i="1" l="1"/>
  <c r="J81" i="1"/>
  <c r="F82" i="1"/>
  <c r="G82" i="1" s="1"/>
  <c r="H82" i="1" s="1"/>
  <c r="M99" i="1"/>
  <c r="D116" i="1"/>
  <c r="B116" i="1"/>
  <c r="N99" i="1" l="1"/>
  <c r="L100" i="1" s="1"/>
  <c r="F83" i="1"/>
  <c r="G83" i="1" s="1"/>
  <c r="H83" i="1" s="1"/>
  <c r="J82" i="1"/>
  <c r="I82" i="1"/>
  <c r="B117" i="1"/>
  <c r="D117" i="1"/>
  <c r="M100" i="1" l="1"/>
  <c r="N100" i="1" s="1"/>
  <c r="I83" i="1"/>
  <c r="F84" i="1"/>
  <c r="G84" i="1" s="1"/>
  <c r="H84" i="1" s="1"/>
  <c r="J83" i="1"/>
  <c r="D118" i="1"/>
  <c r="B118" i="1"/>
  <c r="L101" i="1" l="1"/>
  <c r="M101" i="1" s="1"/>
  <c r="N101" i="1" s="1"/>
  <c r="L102" i="1" s="1"/>
  <c r="J84" i="1"/>
  <c r="I84" i="1"/>
  <c r="F85" i="1"/>
  <c r="B119" i="1"/>
  <c r="D119" i="1"/>
  <c r="M102" i="1"/>
  <c r="N102" i="1" s="1"/>
  <c r="G85" i="1" l="1"/>
  <c r="H85" i="1" s="1"/>
  <c r="L103" i="1"/>
  <c r="D120" i="1"/>
  <c r="B120" i="1"/>
  <c r="I85" i="1" l="1"/>
  <c r="J85" i="1"/>
  <c r="F86" i="1"/>
  <c r="B121" i="1"/>
  <c r="D121" i="1"/>
  <c r="M103" i="1"/>
  <c r="N103" i="1" s="1"/>
  <c r="L104" i="1" s="1"/>
  <c r="G86" i="1" l="1"/>
  <c r="H86" i="1" s="1"/>
  <c r="M104" i="1"/>
  <c r="N104" i="1" s="1"/>
  <c r="D122" i="1"/>
  <c r="B122" i="1"/>
  <c r="I86" i="1" l="1"/>
  <c r="F87" i="1"/>
  <c r="J86" i="1"/>
  <c r="L105" i="1"/>
  <c r="M105" i="1"/>
  <c r="D123" i="1"/>
  <c r="B123" i="1"/>
  <c r="G87" i="1" l="1"/>
  <c r="H87" i="1" s="1"/>
  <c r="B124" i="1"/>
  <c r="D124" i="1"/>
  <c r="N105" i="1"/>
  <c r="L106" i="1" s="1"/>
  <c r="F88" i="1" l="1"/>
  <c r="G88" i="1" s="1"/>
  <c r="H88" i="1" s="1"/>
  <c r="I87" i="1"/>
  <c r="J87" i="1"/>
  <c r="M106" i="1"/>
  <c r="N106" i="1" s="1"/>
  <c r="B125" i="1"/>
  <c r="D125" i="1"/>
  <c r="L107" i="1" l="1"/>
  <c r="M107" i="1" s="1"/>
  <c r="N107" i="1" s="1"/>
  <c r="L108" i="1" s="1"/>
  <c r="F89" i="1"/>
  <c r="G89" i="1" s="1"/>
  <c r="H89" i="1" s="1"/>
  <c r="J88" i="1"/>
  <c r="I88" i="1"/>
  <c r="B126" i="1"/>
  <c r="D126" i="1"/>
  <c r="M108" i="1"/>
  <c r="N108" i="1"/>
  <c r="I89" i="1" l="1"/>
  <c r="F90" i="1"/>
  <c r="G90" i="1" s="1"/>
  <c r="H90" i="1" s="1"/>
  <c r="J89" i="1"/>
  <c r="L109" i="1"/>
  <c r="D127" i="1"/>
  <c r="B127" i="1"/>
  <c r="J90" i="1" l="1"/>
  <c r="I90" i="1"/>
  <c r="F91" i="1"/>
  <c r="G91" i="1" s="1"/>
  <c r="H91" i="1" s="1"/>
  <c r="D128" i="1"/>
  <c r="B128" i="1"/>
  <c r="M109" i="1"/>
  <c r="N109" i="1"/>
  <c r="L110" i="1" s="1"/>
  <c r="I91" i="1" l="1"/>
  <c r="F92" i="1"/>
  <c r="J91" i="1"/>
  <c r="M110" i="1"/>
  <c r="N110" i="1" s="1"/>
  <c r="L111" i="1" s="1"/>
  <c r="B129" i="1"/>
  <c r="D129" i="1"/>
  <c r="G92" i="1" l="1"/>
  <c r="H92" i="1"/>
  <c r="D130" i="1"/>
  <c r="B130" i="1"/>
  <c r="M111" i="1"/>
  <c r="N111" i="1" s="1"/>
  <c r="L112" i="1" l="1"/>
  <c r="M112" i="1" s="1"/>
  <c r="N112" i="1" s="1"/>
  <c r="L113" i="1" s="1"/>
  <c r="J92" i="1"/>
  <c r="F93" i="1"/>
  <c r="G93" i="1" s="1"/>
  <c r="H93" i="1" s="1"/>
  <c r="I92" i="1"/>
  <c r="M113" i="1"/>
  <c r="N113" i="1" s="1"/>
  <c r="L114" i="1" s="1"/>
  <c r="M114" i="1" s="1"/>
  <c r="N114" i="1" s="1"/>
  <c r="L115" i="1" s="1"/>
  <c r="B131" i="1"/>
  <c r="D131" i="1"/>
  <c r="J93" i="1" l="1"/>
  <c r="I93" i="1"/>
  <c r="F94" i="1"/>
  <c r="G94" i="1" s="1"/>
  <c r="H94" i="1" s="1"/>
  <c r="M115" i="1"/>
  <c r="N115" i="1" s="1"/>
  <c r="B132" i="1"/>
  <c r="D132" i="1"/>
  <c r="J94" i="1" l="1"/>
  <c r="I94" i="1"/>
  <c r="F95" i="1"/>
  <c r="G95" i="1" s="1"/>
  <c r="H95" i="1" s="1"/>
  <c r="L116" i="1"/>
  <c r="M116" i="1"/>
  <c r="N116" i="1" s="1"/>
  <c r="D133" i="1"/>
  <c r="B133" i="1"/>
  <c r="I95" i="1" l="1"/>
  <c r="J95" i="1"/>
  <c r="F96" i="1"/>
  <c r="B134" i="1"/>
  <c r="D134" i="1"/>
  <c r="L117" i="1"/>
  <c r="G96" i="1" l="1"/>
  <c r="H96" i="1" s="1"/>
  <c r="M117" i="1"/>
  <c r="N117" i="1" s="1"/>
  <c r="L118" i="1" s="1"/>
  <c r="B135" i="1"/>
  <c r="D135" i="1"/>
  <c r="F97" i="1" l="1"/>
  <c r="G97" i="1" s="1"/>
  <c r="H97" i="1" s="1"/>
  <c r="J96" i="1"/>
  <c r="I96" i="1"/>
  <c r="M118" i="1"/>
  <c r="N118" i="1"/>
  <c r="L119" i="1" s="1"/>
  <c r="M119" i="1" s="1"/>
  <c r="N119" i="1" s="1"/>
  <c r="L120" i="1" s="1"/>
  <c r="B136" i="1"/>
  <c r="D136" i="1"/>
  <c r="I97" i="1" l="1"/>
  <c r="J97" i="1"/>
  <c r="F98" i="1"/>
  <c r="G98" i="1" s="1"/>
  <c r="H98" i="1" s="1"/>
  <c r="D137" i="1"/>
  <c r="B137" i="1"/>
  <c r="M120" i="1"/>
  <c r="N120" i="1" s="1"/>
  <c r="L121" i="1" s="1"/>
  <c r="I98" i="1" l="1"/>
  <c r="J98" i="1"/>
  <c r="F99" i="1"/>
  <c r="G99" i="1" s="1"/>
  <c r="H99" i="1" s="1"/>
  <c r="M121" i="1"/>
  <c r="N121" i="1" s="1"/>
  <c r="L122" i="1" s="1"/>
  <c r="D138" i="1"/>
  <c r="B138" i="1"/>
  <c r="I99" i="1" l="1"/>
  <c r="J99" i="1"/>
  <c r="F100" i="1"/>
  <c r="G100" i="1" s="1"/>
  <c r="H100" i="1" s="1"/>
  <c r="B139" i="1"/>
  <c r="D139" i="1"/>
  <c r="M122" i="1"/>
  <c r="N122" i="1" s="1"/>
  <c r="F101" i="1" l="1"/>
  <c r="G101" i="1" s="1"/>
  <c r="H101" i="1" s="1"/>
  <c r="J100" i="1"/>
  <c r="I100" i="1"/>
  <c r="L123" i="1"/>
  <c r="M123" i="1" s="1"/>
  <c r="N123" i="1" s="1"/>
  <c r="L124" i="1" s="1"/>
  <c r="B140" i="1"/>
  <c r="D140" i="1"/>
  <c r="F102" i="1" l="1"/>
  <c r="J101" i="1"/>
  <c r="I101" i="1"/>
  <c r="M124" i="1"/>
  <c r="N124" i="1" s="1"/>
  <c r="L125" i="1" s="1"/>
  <c r="M125" i="1" s="1"/>
  <c r="N125" i="1" s="1"/>
  <c r="L126" i="1" s="1"/>
  <c r="B141" i="1"/>
  <c r="D141" i="1"/>
  <c r="G102" i="1" l="1"/>
  <c r="H102" i="1" s="1"/>
  <c r="M126" i="1"/>
  <c r="B142" i="1"/>
  <c r="D142" i="1"/>
  <c r="I102" i="1" l="1"/>
  <c r="F103" i="1"/>
  <c r="G103" i="1" s="1"/>
  <c r="H103" i="1" s="1"/>
  <c r="J102" i="1"/>
  <c r="N126" i="1"/>
  <c r="L127" i="1" s="1"/>
  <c r="D143" i="1"/>
  <c r="B143" i="1"/>
  <c r="M127" i="1" l="1"/>
  <c r="N127" i="1" s="1"/>
  <c r="L128" i="1" s="1"/>
  <c r="M128" i="1" s="1"/>
  <c r="N128" i="1" s="1"/>
  <c r="L129" i="1" s="1"/>
  <c r="J103" i="1"/>
  <c r="F104" i="1"/>
  <c r="G104" i="1" s="1"/>
  <c r="H104" i="1" s="1"/>
  <c r="I103" i="1"/>
  <c r="B144" i="1"/>
  <c r="D144" i="1"/>
  <c r="M129" i="1" l="1"/>
  <c r="N129" i="1"/>
  <c r="I104" i="1"/>
  <c r="F105" i="1"/>
  <c r="G105" i="1" s="1"/>
  <c r="H105" i="1" s="1"/>
  <c r="J104" i="1"/>
  <c r="B145" i="1"/>
  <c r="D145" i="1"/>
  <c r="L130" i="1"/>
  <c r="F106" i="1" l="1"/>
  <c r="G106" i="1" s="1"/>
  <c r="H106" i="1" s="1"/>
  <c r="J105" i="1"/>
  <c r="I105" i="1"/>
  <c r="M130" i="1"/>
  <c r="D146" i="1"/>
  <c r="B146" i="1"/>
  <c r="J106" i="1" l="1"/>
  <c r="I106" i="1"/>
  <c r="F107" i="1"/>
  <c r="G107" i="1" s="1"/>
  <c r="H107" i="1" s="1"/>
  <c r="B147" i="1"/>
  <c r="D147" i="1"/>
  <c r="N130" i="1"/>
  <c r="L131" i="1" s="1"/>
  <c r="M131" i="1" s="1"/>
  <c r="N131" i="1" s="1"/>
  <c r="L132" i="1" s="1"/>
  <c r="I107" i="1" l="1"/>
  <c r="F108" i="1"/>
  <c r="G108" i="1" s="1"/>
  <c r="H108" i="1" s="1"/>
  <c r="J107" i="1"/>
  <c r="M132" i="1"/>
  <c r="N132" i="1" s="1"/>
  <c r="D148" i="1"/>
  <c r="B148" i="1"/>
  <c r="F109" i="1" l="1"/>
  <c r="G109" i="1" s="1"/>
  <c r="H109" i="1" s="1"/>
  <c r="J108" i="1"/>
  <c r="I108" i="1"/>
  <c r="D149" i="1"/>
  <c r="B149" i="1"/>
  <c r="L133" i="1"/>
  <c r="F110" i="1" l="1"/>
  <c r="G110" i="1" s="1"/>
  <c r="H110" i="1" s="1"/>
  <c r="I109" i="1"/>
  <c r="J109" i="1"/>
  <c r="M133" i="1"/>
  <c r="N133" i="1"/>
  <c r="B150" i="1"/>
  <c r="D150" i="1"/>
  <c r="J110" i="1" l="1"/>
  <c r="F111" i="1"/>
  <c r="G111" i="1" s="1"/>
  <c r="H111" i="1" s="1"/>
  <c r="I110" i="1"/>
  <c r="L134" i="1"/>
  <c r="M134" i="1" s="1"/>
  <c r="N134" i="1" s="1"/>
  <c r="L135" i="1" s="1"/>
  <c r="D151" i="1"/>
  <c r="B151" i="1"/>
  <c r="I111" i="1" l="1"/>
  <c r="F112" i="1"/>
  <c r="G112" i="1" s="1"/>
  <c r="H112" i="1" s="1"/>
  <c r="J111" i="1"/>
  <c r="D152" i="1"/>
  <c r="B152" i="1"/>
  <c r="M135" i="1"/>
  <c r="N135" i="1" s="1"/>
  <c r="J112" i="1" l="1"/>
  <c r="I112" i="1"/>
  <c r="F113" i="1"/>
  <c r="G113" i="1" s="1"/>
  <c r="H113" i="1" s="1"/>
  <c r="L136" i="1"/>
  <c r="B153" i="1"/>
  <c r="D153" i="1"/>
  <c r="J113" i="1" l="1"/>
  <c r="I113" i="1"/>
  <c r="F114" i="1"/>
  <c r="B154" i="1"/>
  <c r="D154" i="1"/>
  <c r="M136" i="1"/>
  <c r="N136" i="1" s="1"/>
  <c r="L137" i="1" s="1"/>
  <c r="G114" i="1" l="1"/>
  <c r="H114" i="1" s="1"/>
  <c r="M137" i="1"/>
  <c r="N137" i="1" s="1"/>
  <c r="B155" i="1"/>
  <c r="D155" i="1"/>
  <c r="F115" i="1" l="1"/>
  <c r="G115" i="1" s="1"/>
  <c r="H115" i="1" s="1"/>
  <c r="I114" i="1"/>
  <c r="J114" i="1"/>
  <c r="L138" i="1"/>
  <c r="M138" i="1" s="1"/>
  <c r="N138" i="1" s="1"/>
  <c r="D156" i="1"/>
  <c r="B156" i="1"/>
  <c r="L139" i="1" l="1"/>
  <c r="J115" i="1"/>
  <c r="F116" i="1"/>
  <c r="G116" i="1" s="1"/>
  <c r="H116" i="1" s="1"/>
  <c r="I115" i="1"/>
  <c r="B157" i="1"/>
  <c r="D157" i="1"/>
  <c r="M139" i="1"/>
  <c r="N139" i="1" s="1"/>
  <c r="L140" i="1" s="1"/>
  <c r="J116" i="1" l="1"/>
  <c r="F117" i="1"/>
  <c r="I116" i="1"/>
  <c r="M140" i="1"/>
  <c r="N140" i="1" s="1"/>
  <c r="L141" i="1" s="1"/>
  <c r="B158" i="1"/>
  <c r="D158" i="1"/>
  <c r="G117" i="1" l="1"/>
  <c r="H117" i="1" s="1"/>
  <c r="B159" i="1"/>
  <c r="D159" i="1"/>
  <c r="M141" i="1"/>
  <c r="N141" i="1" s="1"/>
  <c r="L142" i="1" s="1"/>
  <c r="I117" i="1" l="1"/>
  <c r="J117" i="1"/>
  <c r="F118" i="1"/>
  <c r="G118" i="1" s="1"/>
  <c r="H118" i="1" s="1"/>
  <c r="M142" i="1"/>
  <c r="N142" i="1" s="1"/>
  <c r="D160" i="1"/>
  <c r="B160" i="1"/>
  <c r="F119" i="1" l="1"/>
  <c r="G119" i="1" s="1"/>
  <c r="H119" i="1" s="1"/>
  <c r="J118" i="1"/>
  <c r="I118" i="1"/>
  <c r="D161" i="1"/>
  <c r="B161" i="1"/>
  <c r="L143" i="1"/>
  <c r="I119" i="1" l="1"/>
  <c r="F120" i="1"/>
  <c r="G120" i="1" s="1"/>
  <c r="H120" i="1" s="1"/>
  <c r="J119" i="1"/>
  <c r="M143" i="1"/>
  <c r="N143" i="1" s="1"/>
  <c r="D162" i="1"/>
  <c r="B162" i="1"/>
  <c r="F121" i="1" l="1"/>
  <c r="G121" i="1" s="1"/>
  <c r="H121" i="1" s="1"/>
  <c r="J120" i="1"/>
  <c r="I120" i="1"/>
  <c r="B163" i="1"/>
  <c r="D163" i="1"/>
  <c r="L144" i="1"/>
  <c r="I121" i="1"/>
  <c r="F122" i="1"/>
  <c r="J121" i="1"/>
  <c r="M144" i="1" l="1"/>
  <c r="N144" i="1" s="1"/>
  <c r="B164" i="1"/>
  <c r="D164" i="1"/>
  <c r="G122" i="1"/>
  <c r="H122" i="1" s="1"/>
  <c r="B165" i="1" l="1"/>
  <c r="D165" i="1"/>
  <c r="L145" i="1"/>
  <c r="F123" i="1"/>
  <c r="I122" i="1"/>
  <c r="J122" i="1"/>
  <c r="M145" i="1" l="1"/>
  <c r="N145" i="1" s="1"/>
  <c r="B166" i="1"/>
  <c r="D166" i="1"/>
  <c r="G123" i="1"/>
  <c r="H123" i="1" s="1"/>
  <c r="D167" i="1" l="1"/>
  <c r="B167" i="1"/>
  <c r="L146" i="1"/>
  <c r="I123" i="1"/>
  <c r="F124" i="1"/>
  <c r="J123" i="1"/>
  <c r="M146" i="1" l="1"/>
  <c r="N146" i="1" s="1"/>
  <c r="B168" i="1"/>
  <c r="D168" i="1"/>
  <c r="G124" i="1"/>
  <c r="H124" i="1"/>
  <c r="L147" i="1" l="1"/>
  <c r="M147" i="1" s="1"/>
  <c r="B169" i="1"/>
  <c r="D169" i="1"/>
  <c r="I124" i="1"/>
  <c r="F125" i="1"/>
  <c r="J124" i="1"/>
  <c r="N147" i="1" l="1"/>
  <c r="L148" i="1" s="1"/>
  <c r="B170" i="1"/>
  <c r="D170" i="1"/>
  <c r="G125" i="1"/>
  <c r="H125" i="1" s="1"/>
  <c r="M148" i="1" l="1"/>
  <c r="N148" i="1" s="1"/>
  <c r="L149" i="1" s="1"/>
  <c r="M149" i="1" s="1"/>
  <c r="N149" i="1" s="1"/>
  <c r="L150" i="1" s="1"/>
  <c r="M150" i="1" s="1"/>
  <c r="N150" i="1" s="1"/>
  <c r="L151" i="1" s="1"/>
  <c r="B171" i="1"/>
  <c r="D171" i="1"/>
  <c r="I125" i="1"/>
  <c r="J125" i="1"/>
  <c r="F126" i="1"/>
  <c r="D172" i="1" l="1"/>
  <c r="B172" i="1"/>
  <c r="M151" i="1"/>
  <c r="N151" i="1" s="1"/>
  <c r="G126" i="1"/>
  <c r="H126" i="1" s="1"/>
  <c r="L152" i="1" l="1"/>
  <c r="M152" i="1" s="1"/>
  <c r="N152" i="1" s="1"/>
  <c r="L153" i="1" s="1"/>
  <c r="M153" i="1" s="1"/>
  <c r="N153" i="1" s="1"/>
  <c r="D173" i="1"/>
  <c r="B173" i="1"/>
  <c r="I126" i="1"/>
  <c r="F127" i="1"/>
  <c r="J126" i="1"/>
  <c r="L154" i="1" l="1"/>
  <c r="B174" i="1"/>
  <c r="D174" i="1"/>
  <c r="M154" i="1"/>
  <c r="N154" i="1" s="1"/>
  <c r="L155" i="1"/>
  <c r="G127" i="1"/>
  <c r="H127" i="1" s="1"/>
  <c r="M155" i="1" l="1"/>
  <c r="N155" i="1" s="1"/>
  <c r="B175" i="1"/>
  <c r="D175" i="1"/>
  <c r="I127" i="1"/>
  <c r="F128" i="1"/>
  <c r="J127" i="1"/>
  <c r="L156" i="1" l="1"/>
  <c r="B176" i="1"/>
  <c r="D176" i="1"/>
  <c r="M156" i="1"/>
  <c r="N156" i="1" s="1"/>
  <c r="L157" i="1" s="1"/>
  <c r="G128" i="1"/>
  <c r="H128" i="1" s="1"/>
  <c r="M157" i="1" l="1"/>
  <c r="N157" i="1" s="1"/>
  <c r="D177" i="1"/>
  <c r="B177" i="1"/>
  <c r="J128" i="1"/>
  <c r="I128" i="1"/>
  <c r="F129" i="1"/>
  <c r="D178" i="1" l="1"/>
  <c r="B178" i="1"/>
  <c r="L158" i="1"/>
  <c r="M158" i="1" s="1"/>
  <c r="N158" i="1" s="1"/>
  <c r="L159" i="1" s="1"/>
  <c r="G129" i="1"/>
  <c r="H129" i="1" s="1"/>
  <c r="M159" i="1" l="1"/>
  <c r="N159" i="1" s="1"/>
  <c r="L160" i="1" s="1"/>
  <c r="B179" i="1"/>
  <c r="D179" i="1"/>
  <c r="I129" i="1"/>
  <c r="F130" i="1"/>
  <c r="J129" i="1"/>
  <c r="M160" i="1" l="1"/>
  <c r="N160" i="1" s="1"/>
  <c r="L161" i="1"/>
  <c r="M161" i="1" s="1"/>
  <c r="N161" i="1" s="1"/>
  <c r="L162" i="1" s="1"/>
  <c r="D180" i="1"/>
  <c r="B180" i="1"/>
  <c r="G130" i="1"/>
  <c r="H130" i="1"/>
  <c r="B181" i="1" l="1"/>
  <c r="D181" i="1"/>
  <c r="M162" i="1"/>
  <c r="N162" i="1" s="1"/>
  <c r="L163" i="1"/>
  <c r="I130" i="1"/>
  <c r="J130" i="1"/>
  <c r="F131" i="1"/>
  <c r="M163" i="1" l="1"/>
  <c r="N163" i="1" s="1"/>
  <c r="L164" i="1" s="1"/>
  <c r="B182" i="1"/>
  <c r="D182" i="1"/>
  <c r="G131" i="1"/>
  <c r="H131" i="1" s="1"/>
  <c r="B183" i="1" l="1"/>
  <c r="D183" i="1"/>
  <c r="M164" i="1"/>
  <c r="I131" i="1"/>
  <c r="F132" i="1"/>
  <c r="J131" i="1"/>
  <c r="N164" i="1" l="1"/>
  <c r="L165" i="1" s="1"/>
  <c r="M165" i="1" s="1"/>
  <c r="D184" i="1"/>
  <c r="B184" i="1"/>
  <c r="G132" i="1"/>
  <c r="H132" i="1"/>
  <c r="B185" i="1" l="1"/>
  <c r="D185" i="1"/>
  <c r="N165" i="1"/>
  <c r="L166" i="1" s="1"/>
  <c r="I132" i="1"/>
  <c r="F133" i="1"/>
  <c r="J132" i="1"/>
  <c r="M166" i="1" l="1"/>
  <c r="N166" i="1" s="1"/>
  <c r="B186" i="1"/>
  <c r="D186" i="1"/>
  <c r="G133" i="1"/>
  <c r="H133" i="1"/>
  <c r="L167" i="1" l="1"/>
  <c r="M167" i="1" s="1"/>
  <c r="N167" i="1" s="1"/>
  <c r="D187" i="1"/>
  <c r="B187" i="1"/>
  <c r="I133" i="1"/>
  <c r="J133" i="1"/>
  <c r="F134" i="1"/>
  <c r="L168" i="1" l="1"/>
  <c r="D188" i="1"/>
  <c r="B188" i="1"/>
  <c r="G134" i="1"/>
  <c r="H134" i="1" s="1"/>
  <c r="D189" i="1" l="1"/>
  <c r="B189" i="1"/>
  <c r="M168" i="1"/>
  <c r="N168" i="1" s="1"/>
  <c r="L169" i="1" s="1"/>
  <c r="I134" i="1"/>
  <c r="F135" i="1"/>
  <c r="J134" i="1"/>
  <c r="M169" i="1" l="1"/>
  <c r="N169" i="1" s="1"/>
  <c r="D190" i="1"/>
  <c r="B190" i="1"/>
  <c r="G135" i="1"/>
  <c r="H135" i="1"/>
  <c r="L170" i="1" l="1"/>
  <c r="B191" i="1"/>
  <c r="D191" i="1"/>
  <c r="M170" i="1"/>
  <c r="N170" i="1"/>
  <c r="F136" i="1"/>
  <c r="I135" i="1"/>
  <c r="J135" i="1"/>
  <c r="L171" i="1" l="1"/>
  <c r="B192" i="1"/>
  <c r="D192" i="1"/>
  <c r="G136" i="1"/>
  <c r="H136" i="1"/>
  <c r="M171" i="1" l="1"/>
  <c r="N171" i="1" s="1"/>
  <c r="L172" i="1" s="1"/>
  <c r="M172" i="1" s="1"/>
  <c r="N172" i="1" s="1"/>
  <c r="L173" i="1" s="1"/>
  <c r="B193" i="1"/>
  <c r="D193" i="1"/>
  <c r="J136" i="1"/>
  <c r="I136" i="1"/>
  <c r="F137" i="1"/>
  <c r="B194" i="1" l="1"/>
  <c r="D194" i="1"/>
  <c r="M173" i="1"/>
  <c r="N173" i="1"/>
  <c r="G137" i="1"/>
  <c r="H137" i="1" s="1"/>
  <c r="L174" i="1" l="1"/>
  <c r="M174" i="1" s="1"/>
  <c r="N174" i="1" s="1"/>
  <c r="L175" i="1" s="1"/>
  <c r="B195" i="1"/>
  <c r="D195" i="1"/>
  <c r="I137" i="1"/>
  <c r="F138" i="1"/>
  <c r="J137" i="1"/>
  <c r="M175" i="1" l="1"/>
  <c r="N175" i="1" s="1"/>
  <c r="L176" i="1" s="1"/>
  <c r="M176" i="1" s="1"/>
  <c r="N176" i="1" s="1"/>
  <c r="L177" i="1" s="1"/>
  <c r="M177" i="1" s="1"/>
  <c r="N177" i="1" s="1"/>
  <c r="L178" i="1" s="1"/>
  <c r="D196" i="1"/>
  <c r="B196" i="1"/>
  <c r="G138" i="1"/>
  <c r="H138" i="1" s="1"/>
  <c r="M178" i="1" l="1"/>
  <c r="B197" i="1"/>
  <c r="D197" i="1"/>
  <c r="F139" i="1"/>
  <c r="I138" i="1"/>
  <c r="J138" i="1"/>
  <c r="B198" i="1" l="1"/>
  <c r="D198" i="1"/>
  <c r="N178" i="1"/>
  <c r="L179" i="1" s="1"/>
  <c r="G139" i="1"/>
  <c r="H139" i="1"/>
  <c r="M179" i="1" l="1"/>
  <c r="N179" i="1"/>
  <c r="D199" i="1"/>
  <c r="B199" i="1"/>
  <c r="I139" i="1"/>
  <c r="F140" i="1"/>
  <c r="J139" i="1"/>
  <c r="B200" i="1" l="1"/>
  <c r="D200" i="1"/>
  <c r="L180" i="1"/>
  <c r="G140" i="1"/>
  <c r="H140" i="1" s="1"/>
  <c r="M180" i="1" l="1"/>
  <c r="N180" i="1"/>
  <c r="L181" i="1" s="1"/>
  <c r="B201" i="1"/>
  <c r="D201" i="1"/>
  <c r="I140" i="1"/>
  <c r="F141" i="1"/>
  <c r="J140" i="1"/>
  <c r="M181" i="1" l="1"/>
  <c r="N181" i="1" s="1"/>
  <c r="L182" i="1" s="1"/>
  <c r="B202" i="1"/>
  <c r="D202" i="1"/>
  <c r="G141" i="1"/>
  <c r="H141" i="1" s="1"/>
  <c r="D203" i="1" l="1"/>
  <c r="B203" i="1"/>
  <c r="M182" i="1"/>
  <c r="N182" i="1" s="1"/>
  <c r="I141" i="1"/>
  <c r="J141" i="1"/>
  <c r="F142" i="1"/>
  <c r="L183" i="1" l="1"/>
  <c r="M183" i="1"/>
  <c r="N183" i="1"/>
  <c r="L184" i="1" s="1"/>
  <c r="B204" i="1"/>
  <c r="D204" i="1"/>
  <c r="G142" i="1"/>
  <c r="H142" i="1" s="1"/>
  <c r="M184" i="1" l="1"/>
  <c r="N184" i="1"/>
  <c r="L185" i="1"/>
  <c r="B205" i="1"/>
  <c r="D205" i="1"/>
  <c r="I142" i="1"/>
  <c r="F143" i="1"/>
  <c r="J142" i="1"/>
  <c r="B206" i="1" l="1"/>
  <c r="D206" i="1"/>
  <c r="M185" i="1"/>
  <c r="N185" i="1" s="1"/>
  <c r="L186" i="1" s="1"/>
  <c r="G143" i="1"/>
  <c r="H143" i="1"/>
  <c r="M186" i="1" l="1"/>
  <c r="N186" i="1" s="1"/>
  <c r="D207" i="1"/>
  <c r="B207" i="1"/>
  <c r="F144" i="1"/>
  <c r="I143" i="1"/>
  <c r="J143" i="1"/>
  <c r="L187" i="1" l="1"/>
  <c r="B208" i="1"/>
  <c r="D208" i="1"/>
  <c r="M187" i="1"/>
  <c r="N187" i="1" s="1"/>
  <c r="L188" i="1" s="1"/>
  <c r="G144" i="1"/>
  <c r="H144" i="1"/>
  <c r="M188" i="1" l="1"/>
  <c r="N188" i="1" s="1"/>
  <c r="D209" i="1"/>
  <c r="B209" i="1"/>
  <c r="J144" i="1"/>
  <c r="I144" i="1"/>
  <c r="F145" i="1"/>
  <c r="L189" i="1" l="1"/>
  <c r="D210" i="1"/>
  <c r="B210" i="1"/>
  <c r="M189" i="1"/>
  <c r="N189" i="1" s="1"/>
  <c r="L190" i="1" s="1"/>
  <c r="G145" i="1"/>
  <c r="H145" i="1" s="1"/>
  <c r="M190" i="1" l="1"/>
  <c r="N190" i="1"/>
  <c r="B211" i="1"/>
  <c r="D211" i="1"/>
  <c r="I145" i="1"/>
  <c r="F146" i="1"/>
  <c r="J145" i="1"/>
  <c r="B212" i="1" l="1"/>
  <c r="D212" i="1"/>
  <c r="L191" i="1"/>
  <c r="G146" i="1"/>
  <c r="H146" i="1" s="1"/>
  <c r="M191" i="1" l="1"/>
  <c r="N191" i="1" s="1"/>
  <c r="L192" i="1" s="1"/>
  <c r="D213" i="1"/>
  <c r="B213" i="1"/>
  <c r="F147" i="1"/>
  <c r="I146" i="1"/>
  <c r="J146" i="1"/>
  <c r="B214" i="1" l="1"/>
  <c r="D214" i="1"/>
  <c r="M192" i="1"/>
  <c r="N192" i="1" s="1"/>
  <c r="G147" i="1"/>
  <c r="H147" i="1" s="1"/>
  <c r="L193" i="1" l="1"/>
  <c r="D215" i="1"/>
  <c r="B215" i="1"/>
  <c r="I147" i="1"/>
  <c r="F148" i="1"/>
  <c r="J147" i="1"/>
  <c r="B216" i="1" l="1"/>
  <c r="D216" i="1"/>
  <c r="M193" i="1"/>
  <c r="N193" i="1" s="1"/>
  <c r="G148" i="1"/>
  <c r="H148" i="1" s="1"/>
  <c r="L194" i="1" l="1"/>
  <c r="M194" i="1" s="1"/>
  <c r="N194" i="1" s="1"/>
  <c r="D217" i="1"/>
  <c r="B217" i="1"/>
  <c r="F149" i="1"/>
  <c r="I148" i="1"/>
  <c r="J148" i="1"/>
  <c r="L195" i="1" l="1"/>
  <c r="M195" i="1" s="1"/>
  <c r="N195" i="1" s="1"/>
  <c r="L196" i="1" s="1"/>
  <c r="D218" i="1"/>
  <c r="B218" i="1"/>
  <c r="M196" i="1"/>
  <c r="N196" i="1" s="1"/>
  <c r="L197" i="1" s="1"/>
  <c r="G149" i="1"/>
  <c r="H149" i="1" s="1"/>
  <c r="M197" i="1" l="1"/>
  <c r="N197" i="1" s="1"/>
  <c r="L198" i="1" s="1"/>
  <c r="B219" i="1"/>
  <c r="D219" i="1"/>
  <c r="F150" i="1"/>
  <c r="I149" i="1"/>
  <c r="J149" i="1"/>
  <c r="M198" i="1" l="1"/>
  <c r="N198" i="1"/>
  <c r="D220" i="1"/>
  <c r="B220" i="1"/>
  <c r="G150" i="1"/>
  <c r="H150" i="1" s="1"/>
  <c r="B221" i="1" l="1"/>
  <c r="D221" i="1"/>
  <c r="L199" i="1"/>
  <c r="I150" i="1"/>
  <c r="F151" i="1"/>
  <c r="J150" i="1"/>
  <c r="M199" i="1" l="1"/>
  <c r="N199" i="1" s="1"/>
  <c r="B222" i="1"/>
  <c r="D222" i="1"/>
  <c r="G151" i="1"/>
  <c r="H151" i="1" s="1"/>
  <c r="D223" i="1" l="1"/>
  <c r="B223" i="1"/>
  <c r="L200" i="1"/>
  <c r="F152" i="1"/>
  <c r="I151" i="1"/>
  <c r="J151" i="1"/>
  <c r="M200" i="1" l="1"/>
  <c r="D224" i="1"/>
  <c r="B224" i="1"/>
  <c r="G152" i="1"/>
  <c r="H152" i="1" s="1"/>
  <c r="B225" i="1" l="1"/>
  <c r="D225" i="1"/>
  <c r="N200" i="1"/>
  <c r="L201" i="1" s="1"/>
  <c r="J152" i="1"/>
  <c r="F153" i="1"/>
  <c r="I152" i="1"/>
  <c r="M201" i="1" l="1"/>
  <c r="N201" i="1" s="1"/>
  <c r="D226" i="1"/>
  <c r="B226" i="1"/>
  <c r="G153" i="1"/>
  <c r="H153" i="1" s="1"/>
  <c r="B227" i="1" l="1"/>
  <c r="D227" i="1"/>
  <c r="L202" i="1"/>
  <c r="F154" i="1"/>
  <c r="I153" i="1"/>
  <c r="J153" i="1"/>
  <c r="D228" i="1" l="1"/>
  <c r="B228" i="1"/>
  <c r="M202" i="1"/>
  <c r="N202" i="1" s="1"/>
  <c r="L203" i="1" s="1"/>
  <c r="G154" i="1"/>
  <c r="H154" i="1" s="1"/>
  <c r="M203" i="1" l="1"/>
  <c r="N203" i="1" s="1"/>
  <c r="D229" i="1"/>
  <c r="B229" i="1"/>
  <c r="J154" i="1"/>
  <c r="I154" i="1"/>
  <c r="F155" i="1"/>
  <c r="L204" i="1" l="1"/>
  <c r="D230" i="1"/>
  <c r="B230" i="1"/>
  <c r="M204" i="1"/>
  <c r="G155" i="1"/>
  <c r="H155" i="1" s="1"/>
  <c r="N204" i="1" l="1"/>
  <c r="L205" i="1" s="1"/>
  <c r="D231" i="1"/>
  <c r="B231" i="1"/>
  <c r="I155" i="1"/>
  <c r="J155" i="1"/>
  <c r="F156" i="1"/>
  <c r="M205" i="1" l="1"/>
  <c r="N205" i="1" s="1"/>
  <c r="B232" i="1"/>
  <c r="D232" i="1"/>
  <c r="G156" i="1"/>
  <c r="H156" i="1" s="1"/>
  <c r="B233" i="1" l="1"/>
  <c r="D233" i="1"/>
  <c r="L206" i="1"/>
  <c r="M206" i="1" s="1"/>
  <c r="N206" i="1" s="1"/>
  <c r="L207" i="1" s="1"/>
  <c r="I156" i="1"/>
  <c r="F157" i="1"/>
  <c r="J156" i="1"/>
  <c r="M207" i="1" l="1"/>
  <c r="N207" i="1" s="1"/>
  <c r="B234" i="1"/>
  <c r="D234" i="1"/>
  <c r="G157" i="1"/>
  <c r="H157" i="1" s="1"/>
  <c r="B235" i="1" l="1"/>
  <c r="D235" i="1"/>
  <c r="L208" i="1"/>
  <c r="I157" i="1"/>
  <c r="F158" i="1"/>
  <c r="J157" i="1"/>
  <c r="M208" i="1" l="1"/>
  <c r="N208" i="1" s="1"/>
  <c r="B236" i="1"/>
  <c r="D236" i="1"/>
  <c r="G158" i="1"/>
  <c r="H158" i="1" s="1"/>
  <c r="D237" i="1" l="1"/>
  <c r="B237" i="1"/>
  <c r="L209" i="1"/>
  <c r="F159" i="1"/>
  <c r="I158" i="1"/>
  <c r="J158" i="1"/>
  <c r="M209" i="1" l="1"/>
  <c r="N209" i="1" s="1"/>
  <c r="L210" i="1"/>
  <c r="B238" i="1"/>
  <c r="D238" i="1"/>
  <c r="G159" i="1"/>
  <c r="H159" i="1" s="1"/>
  <c r="D239" i="1" l="1"/>
  <c r="B239" i="1"/>
  <c r="M210" i="1"/>
  <c r="J159" i="1"/>
  <c r="F160" i="1"/>
  <c r="I159" i="1"/>
  <c r="N210" i="1" l="1"/>
  <c r="L211" i="1" s="1"/>
  <c r="D240" i="1"/>
  <c r="B240" i="1"/>
  <c r="G160" i="1"/>
  <c r="H160" i="1"/>
  <c r="M211" i="1" l="1"/>
  <c r="N211" i="1" s="1"/>
  <c r="L212" i="1" s="1"/>
  <c r="B241" i="1"/>
  <c r="D241" i="1"/>
  <c r="I160" i="1"/>
  <c r="F161" i="1"/>
  <c r="J160" i="1"/>
  <c r="M212" i="1" l="1"/>
  <c r="N212" i="1" s="1"/>
  <c r="D242" i="1"/>
  <c r="B242" i="1"/>
  <c r="G161" i="1"/>
  <c r="H161" i="1" s="1"/>
  <c r="D243" i="1" l="1"/>
  <c r="B243" i="1"/>
  <c r="L213" i="1"/>
  <c r="J161" i="1"/>
  <c r="I161" i="1"/>
  <c r="F162" i="1"/>
  <c r="M213" i="1" l="1"/>
  <c r="N213" i="1" s="1"/>
  <c r="D244" i="1"/>
  <c r="B244" i="1"/>
  <c r="G162" i="1"/>
  <c r="H162" i="1" s="1"/>
  <c r="L214" i="1" l="1"/>
  <c r="B245" i="1"/>
  <c r="D245" i="1"/>
  <c r="M214" i="1"/>
  <c r="N214" i="1" s="1"/>
  <c r="L215" i="1" s="1"/>
  <c r="M215" i="1" s="1"/>
  <c r="N215" i="1" s="1"/>
  <c r="L216" i="1" s="1"/>
  <c r="I162" i="1"/>
  <c r="F163" i="1"/>
  <c r="J162" i="1"/>
  <c r="M216" i="1" l="1"/>
  <c r="N216" i="1" s="1"/>
  <c r="L217" i="1" s="1"/>
  <c r="M217" i="1" s="1"/>
  <c r="N217" i="1" s="1"/>
  <c r="L218" i="1" s="1"/>
  <c r="G163" i="1"/>
  <c r="H163" i="1"/>
  <c r="M218" i="1" l="1"/>
  <c r="F164" i="1"/>
  <c r="I163" i="1"/>
  <c r="J163" i="1"/>
  <c r="N218" i="1" l="1"/>
  <c r="L219" i="1" s="1"/>
  <c r="M219" i="1" s="1"/>
  <c r="N219" i="1" s="1"/>
  <c r="L220" i="1" s="1"/>
  <c r="G164" i="1"/>
  <c r="H164" i="1" s="1"/>
  <c r="M220" i="1" l="1"/>
  <c r="N220" i="1" s="1"/>
  <c r="L221" i="1" s="1"/>
  <c r="I164" i="1"/>
  <c r="F165" i="1"/>
  <c r="J164" i="1"/>
  <c r="M221" i="1" l="1"/>
  <c r="N221" i="1" s="1"/>
  <c r="G165" i="1"/>
  <c r="H165" i="1" s="1"/>
  <c r="L222" i="1" l="1"/>
  <c r="M222" i="1"/>
  <c r="N222" i="1" s="1"/>
  <c r="I165" i="1"/>
  <c r="F166" i="1"/>
  <c r="J165" i="1"/>
  <c r="L223" i="1" l="1"/>
  <c r="M223" i="1" s="1"/>
  <c r="N223" i="1" s="1"/>
  <c r="L224" i="1" s="1"/>
  <c r="G166" i="1"/>
  <c r="H166" i="1" s="1"/>
  <c r="M224" i="1" l="1"/>
  <c r="N224" i="1" s="1"/>
  <c r="L225" i="1" s="1"/>
  <c r="F167" i="1"/>
  <c r="I166" i="1"/>
  <c r="J166" i="1"/>
  <c r="M225" i="1" l="1"/>
  <c r="N225" i="1" s="1"/>
  <c r="L226" i="1" s="1"/>
  <c r="G167" i="1"/>
  <c r="H167" i="1"/>
  <c r="M226" i="1" l="1"/>
  <c r="N226" i="1" s="1"/>
  <c r="J167" i="1"/>
  <c r="F168" i="1"/>
  <c r="I167" i="1"/>
  <c r="L227" i="1" l="1"/>
  <c r="G168" i="1"/>
  <c r="H168" i="1"/>
  <c r="M227" i="1" l="1"/>
  <c r="I168" i="1"/>
  <c r="F169" i="1"/>
  <c r="J168" i="1"/>
  <c r="N227" i="1" l="1"/>
  <c r="L228" i="1" s="1"/>
  <c r="M228" i="1" s="1"/>
  <c r="G169" i="1"/>
  <c r="H169" i="1" s="1"/>
  <c r="N228" i="1" l="1"/>
  <c r="L229" i="1" s="1"/>
  <c r="F170" i="1"/>
  <c r="I169" i="1"/>
  <c r="J169" i="1"/>
  <c r="M229" i="1" l="1"/>
  <c r="N229" i="1" s="1"/>
  <c r="G170" i="1"/>
  <c r="H170" i="1" s="1"/>
  <c r="L230" i="1" l="1"/>
  <c r="I170" i="1"/>
  <c r="F171" i="1"/>
  <c r="J170" i="1"/>
  <c r="M230" i="1" l="1"/>
  <c r="N230" i="1" s="1"/>
  <c r="G171" i="1"/>
  <c r="H171" i="1" s="1"/>
  <c r="L231" i="1" l="1"/>
  <c r="M231" i="1" s="1"/>
  <c r="N231" i="1" s="1"/>
  <c r="L232" i="1" s="1"/>
  <c r="F172" i="1"/>
  <c r="I171" i="1"/>
  <c r="J171" i="1"/>
  <c r="M232" i="1" l="1"/>
  <c r="N232" i="1" s="1"/>
  <c r="G172" i="1"/>
  <c r="H172" i="1" s="1"/>
  <c r="L233" i="1" l="1"/>
  <c r="M233" i="1"/>
  <c r="F173" i="1"/>
  <c r="I172" i="1"/>
  <c r="J172" i="1"/>
  <c r="N233" i="1" l="1"/>
  <c r="L234" i="1" s="1"/>
  <c r="G173" i="1"/>
  <c r="H173" i="1" s="1"/>
  <c r="M234" i="1" l="1"/>
  <c r="N234" i="1"/>
  <c r="L235" i="1"/>
  <c r="M235" i="1" s="1"/>
  <c r="N235" i="1" s="1"/>
  <c r="I173" i="1"/>
  <c r="F174" i="1"/>
  <c r="J173" i="1"/>
  <c r="L236" i="1" l="1"/>
  <c r="M236" i="1" s="1"/>
  <c r="N236" i="1" s="1"/>
  <c r="L237" i="1" s="1"/>
  <c r="G174" i="1"/>
  <c r="H174" i="1" s="1"/>
  <c r="M237" i="1" l="1"/>
  <c r="N237" i="1" s="1"/>
  <c r="L238" i="1" s="1"/>
  <c r="F175" i="1"/>
  <c r="I174" i="1"/>
  <c r="J174" i="1"/>
  <c r="M238" i="1" l="1"/>
  <c r="N238" i="1" s="1"/>
  <c r="L239" i="1" s="1"/>
  <c r="G175" i="1"/>
  <c r="H175" i="1" s="1"/>
  <c r="M239" i="1" l="1"/>
  <c r="N239" i="1" s="1"/>
  <c r="L240" i="1" s="1"/>
  <c r="J175" i="1"/>
  <c r="F176" i="1"/>
  <c r="I175" i="1"/>
  <c r="M240" i="1" l="1"/>
  <c r="N240" i="1" s="1"/>
  <c r="G176" i="1"/>
  <c r="H176" i="1" s="1"/>
  <c r="L241" i="1" l="1"/>
  <c r="M241" i="1" s="1"/>
  <c r="N241" i="1" s="1"/>
  <c r="L242" i="1" s="1"/>
  <c r="F177" i="1"/>
  <c r="I176" i="1"/>
  <c r="J176" i="1"/>
  <c r="M242" i="1" l="1"/>
  <c r="N242" i="1" s="1"/>
  <c r="G177" i="1"/>
  <c r="H177" i="1" s="1"/>
  <c r="L243" i="1" l="1"/>
  <c r="F178" i="1"/>
  <c r="I177" i="1"/>
  <c r="J177" i="1"/>
  <c r="M243" i="1" l="1"/>
  <c r="N243" i="1" s="1"/>
  <c r="G178" i="1"/>
  <c r="H178" i="1" s="1"/>
  <c r="L244" i="1" l="1"/>
  <c r="I178" i="1"/>
  <c r="F179" i="1"/>
  <c r="J178" i="1"/>
  <c r="M244" i="1" l="1"/>
  <c r="N244" i="1"/>
  <c r="L245" i="1" s="1"/>
  <c r="G179" i="1"/>
  <c r="H179" i="1" s="1"/>
  <c r="M245" i="1" l="1"/>
  <c r="N245" i="1"/>
  <c r="I179" i="1"/>
  <c r="J179" i="1"/>
  <c r="F180" i="1"/>
  <c r="G180" i="1" l="1"/>
  <c r="H180" i="1" s="1"/>
  <c r="I180" i="1" l="1"/>
  <c r="J180" i="1"/>
  <c r="F181" i="1"/>
  <c r="G181" i="1" l="1"/>
  <c r="H181" i="1" s="1"/>
  <c r="I181" i="1" l="1"/>
  <c r="F182" i="1"/>
  <c r="J181" i="1"/>
  <c r="G182" i="1" l="1"/>
  <c r="H182" i="1" s="1"/>
  <c r="I182" i="1" l="1"/>
  <c r="J182" i="1"/>
  <c r="F183" i="1"/>
  <c r="G183" i="1" l="1"/>
  <c r="H183" i="1" s="1"/>
  <c r="J183" i="1" l="1"/>
  <c r="I183" i="1"/>
  <c r="F184" i="1"/>
  <c r="G184" i="1" l="1"/>
  <c r="H184" i="1" s="1"/>
  <c r="I184" i="1" l="1"/>
  <c r="J184" i="1"/>
  <c r="F185" i="1"/>
  <c r="G185" i="1" l="1"/>
  <c r="H185" i="1" s="1"/>
  <c r="F186" i="1" l="1"/>
  <c r="I185" i="1"/>
  <c r="J185" i="1"/>
  <c r="G186" i="1" l="1"/>
  <c r="H186" i="1" s="1"/>
  <c r="I186" i="1" l="1"/>
  <c r="F187" i="1"/>
  <c r="J186" i="1"/>
  <c r="G187" i="1" l="1"/>
  <c r="H187" i="1" s="1"/>
  <c r="F188" i="1" l="1"/>
  <c r="I187" i="1"/>
  <c r="J187" i="1"/>
  <c r="G188" i="1" l="1"/>
  <c r="H188" i="1" s="1"/>
  <c r="I188" i="1" l="1"/>
  <c r="J188" i="1"/>
  <c r="F189" i="1"/>
  <c r="G189" i="1" l="1"/>
  <c r="H189" i="1" s="1"/>
  <c r="I189" i="1" l="1"/>
  <c r="F190" i="1"/>
  <c r="J189" i="1"/>
  <c r="G190" i="1" l="1"/>
  <c r="H190" i="1"/>
  <c r="I190" i="1" l="1"/>
  <c r="F191" i="1"/>
  <c r="J190" i="1"/>
  <c r="G191" i="1" l="1"/>
  <c r="H191" i="1" s="1"/>
  <c r="I191" i="1" l="1"/>
  <c r="F192" i="1"/>
  <c r="J191" i="1"/>
  <c r="G192" i="1" l="1"/>
  <c r="H192" i="1" s="1"/>
  <c r="I192" i="1" l="1"/>
  <c r="F193" i="1"/>
  <c r="J192" i="1"/>
  <c r="G193" i="1" l="1"/>
  <c r="H193" i="1"/>
  <c r="I193" i="1" l="1"/>
  <c r="F194" i="1"/>
  <c r="J193" i="1"/>
  <c r="G194" i="1" l="1"/>
  <c r="H194" i="1" s="1"/>
  <c r="J194" i="1" l="1"/>
  <c r="I194" i="1"/>
  <c r="F195" i="1"/>
  <c r="G195" i="1" l="1"/>
  <c r="H195" i="1" s="1"/>
  <c r="I195" i="1" l="1"/>
  <c r="F196" i="1"/>
  <c r="J195" i="1"/>
  <c r="G196" i="1" l="1"/>
  <c r="H196" i="1"/>
  <c r="J196" i="1" l="1"/>
  <c r="I196" i="1"/>
  <c r="F197" i="1"/>
  <c r="G197" i="1" l="1"/>
  <c r="H197" i="1"/>
  <c r="I197" i="1" l="1"/>
  <c r="F198" i="1"/>
  <c r="J197" i="1"/>
  <c r="G198" i="1" l="1"/>
  <c r="H198" i="1"/>
  <c r="I198" i="1" l="1"/>
  <c r="F199" i="1"/>
  <c r="J198" i="1"/>
  <c r="G199" i="1" l="1"/>
  <c r="H199" i="1" s="1"/>
  <c r="I199" i="1" l="1"/>
  <c r="F200" i="1"/>
  <c r="J199" i="1"/>
  <c r="G200" i="1" l="1"/>
  <c r="H200" i="1" s="1"/>
  <c r="I200" i="1" l="1"/>
  <c r="F201" i="1"/>
  <c r="J200" i="1"/>
  <c r="G201" i="1" l="1"/>
  <c r="H201" i="1" s="1"/>
  <c r="I201" i="1" l="1"/>
  <c r="F202" i="1"/>
  <c r="J201" i="1"/>
  <c r="G202" i="1" l="1"/>
  <c r="H202" i="1" s="1"/>
  <c r="J202" i="1" l="1"/>
  <c r="I202" i="1"/>
  <c r="F203" i="1"/>
  <c r="G203" i="1" l="1"/>
  <c r="H203" i="1" s="1"/>
  <c r="I203" i="1" l="1"/>
  <c r="F204" i="1"/>
  <c r="J203" i="1"/>
  <c r="G204" i="1" l="1"/>
  <c r="H204" i="1" s="1"/>
  <c r="J204" i="1" l="1"/>
  <c r="F205" i="1"/>
  <c r="I204" i="1"/>
  <c r="G205" i="1" l="1"/>
  <c r="H205" i="1" s="1"/>
  <c r="I205" i="1" l="1"/>
  <c r="F206" i="1"/>
  <c r="J205" i="1"/>
  <c r="G206" i="1" l="1"/>
  <c r="H206" i="1"/>
  <c r="I206" i="1" l="1"/>
  <c r="F207" i="1"/>
  <c r="J206" i="1"/>
  <c r="G207" i="1" l="1"/>
  <c r="H207" i="1"/>
  <c r="I207" i="1" l="1"/>
  <c r="F208" i="1"/>
  <c r="J207" i="1"/>
  <c r="G208" i="1" l="1"/>
  <c r="H208" i="1" s="1"/>
  <c r="I208" i="1" l="1"/>
  <c r="F209" i="1"/>
  <c r="J208" i="1"/>
  <c r="G209" i="1" l="1"/>
  <c r="H209" i="1" s="1"/>
  <c r="I209" i="1" l="1"/>
  <c r="F210" i="1"/>
  <c r="J209" i="1"/>
  <c r="G210" i="1" l="1"/>
  <c r="H210" i="1" s="1"/>
  <c r="J210" i="1" l="1"/>
  <c r="I210" i="1"/>
  <c r="F211" i="1"/>
  <c r="G211" i="1" l="1"/>
  <c r="H211" i="1"/>
  <c r="I211" i="1" l="1"/>
  <c r="F212" i="1"/>
  <c r="J211" i="1"/>
  <c r="G212" i="1" l="1"/>
  <c r="H212" i="1" s="1"/>
  <c r="J212" i="1" l="1"/>
  <c r="I212" i="1"/>
  <c r="F213" i="1"/>
  <c r="G213" i="1" l="1"/>
  <c r="H213" i="1" s="1"/>
  <c r="I213" i="1" l="1"/>
  <c r="F214" i="1"/>
  <c r="J213" i="1"/>
  <c r="G214" i="1" l="1"/>
  <c r="H214" i="1"/>
  <c r="I214" i="1" l="1"/>
  <c r="F215" i="1"/>
  <c r="J214" i="1"/>
  <c r="G215" i="1" l="1"/>
  <c r="H215" i="1" s="1"/>
  <c r="I215" i="1" l="1"/>
  <c r="F216" i="1"/>
  <c r="J215" i="1"/>
  <c r="G216" i="1" l="1"/>
  <c r="H216" i="1" s="1"/>
  <c r="J216" i="1" l="1"/>
  <c r="I216" i="1"/>
  <c r="F217" i="1"/>
  <c r="G217" i="1" l="1"/>
  <c r="H217" i="1" s="1"/>
  <c r="I217" i="1" l="1"/>
  <c r="F218" i="1"/>
  <c r="J217" i="1"/>
  <c r="G218" i="1" l="1"/>
  <c r="H218" i="1" s="1"/>
  <c r="J218" i="1" l="1"/>
  <c r="F219" i="1"/>
  <c r="I218" i="1"/>
  <c r="G219" i="1" l="1"/>
  <c r="H219" i="1" s="1"/>
  <c r="I219" i="1" l="1"/>
  <c r="F220" i="1"/>
  <c r="J219" i="1"/>
  <c r="G220" i="1" l="1"/>
  <c r="H220" i="1" s="1"/>
  <c r="J220" i="1" l="1"/>
  <c r="F221" i="1"/>
  <c r="I220" i="1"/>
  <c r="G221" i="1" l="1"/>
  <c r="H221" i="1" s="1"/>
  <c r="I221" i="1" l="1"/>
  <c r="F222" i="1"/>
  <c r="J221" i="1"/>
  <c r="G222" i="1" l="1"/>
  <c r="H222" i="1" s="1"/>
  <c r="J222" i="1" l="1"/>
  <c r="I222" i="1"/>
  <c r="F223" i="1"/>
  <c r="G223" i="1" l="1"/>
  <c r="H223" i="1" s="1"/>
  <c r="F224" i="1" l="1"/>
  <c r="I223" i="1"/>
  <c r="J223" i="1"/>
  <c r="G224" i="1" l="1"/>
  <c r="H224" i="1" s="1"/>
  <c r="J224" i="1" l="1"/>
  <c r="F225" i="1"/>
  <c r="I224" i="1"/>
  <c r="G225" i="1" l="1"/>
  <c r="H225" i="1" s="1"/>
  <c r="I225" i="1" l="1"/>
  <c r="F226" i="1"/>
  <c r="J225" i="1"/>
  <c r="G226" i="1" l="1"/>
  <c r="H226" i="1" s="1"/>
  <c r="F227" i="1" l="1"/>
  <c r="I226" i="1"/>
  <c r="J226" i="1"/>
  <c r="G227" i="1" l="1"/>
  <c r="H227" i="1"/>
  <c r="I227" i="1" l="1"/>
  <c r="F228" i="1"/>
  <c r="J227" i="1"/>
  <c r="G228" i="1" l="1"/>
  <c r="H228" i="1" s="1"/>
  <c r="I228" i="1" l="1"/>
  <c r="J228" i="1"/>
  <c r="F229" i="1"/>
  <c r="G229" i="1" l="1"/>
  <c r="H229" i="1" s="1"/>
  <c r="F230" i="1" l="1"/>
  <c r="I229" i="1"/>
  <c r="J229" i="1"/>
  <c r="G230" i="1" l="1"/>
  <c r="H230" i="1" s="1"/>
  <c r="F231" i="1" l="1"/>
  <c r="I230" i="1"/>
  <c r="J230" i="1"/>
  <c r="G231" i="1" l="1"/>
  <c r="H231" i="1"/>
  <c r="F232" i="1" l="1"/>
  <c r="I231" i="1"/>
  <c r="J231" i="1"/>
  <c r="G232" i="1" l="1"/>
  <c r="H232" i="1"/>
  <c r="J232" i="1" l="1"/>
  <c r="F233" i="1"/>
  <c r="I232" i="1"/>
  <c r="G233" i="1" l="1"/>
  <c r="H233" i="1" s="1"/>
  <c r="I233" i="1" l="1"/>
  <c r="F234" i="1"/>
  <c r="J233" i="1"/>
  <c r="G234" i="1" l="1"/>
  <c r="H234" i="1"/>
  <c r="F235" i="1" l="1"/>
  <c r="I234" i="1"/>
  <c r="J234" i="1"/>
  <c r="G235" i="1" l="1"/>
  <c r="H235" i="1" s="1"/>
  <c r="I235" i="1" l="1"/>
  <c r="F236" i="1"/>
  <c r="J235" i="1"/>
  <c r="G236" i="1" l="1"/>
  <c r="H236" i="1" s="1"/>
  <c r="F237" i="1" l="1"/>
  <c r="I236" i="1"/>
  <c r="J236" i="1"/>
  <c r="G237" i="1" l="1"/>
  <c r="H237" i="1" s="1"/>
  <c r="I237" i="1" l="1"/>
  <c r="J237" i="1"/>
  <c r="F238" i="1"/>
  <c r="G238" i="1" l="1"/>
  <c r="H238" i="1" s="1"/>
  <c r="F239" i="1" l="1"/>
  <c r="I238" i="1"/>
  <c r="J238" i="1"/>
  <c r="G239" i="1" l="1"/>
  <c r="H239" i="1" s="1"/>
  <c r="F240" i="1" l="1"/>
  <c r="I239" i="1"/>
  <c r="J239" i="1"/>
  <c r="G240" i="1" l="1"/>
  <c r="H240" i="1" s="1"/>
  <c r="J240" i="1" l="1"/>
  <c r="F241" i="1"/>
  <c r="I240" i="1"/>
  <c r="G241" i="1" l="1"/>
  <c r="H241" i="1"/>
  <c r="I241" i="1" l="1"/>
  <c r="J241" i="1"/>
  <c r="F242" i="1"/>
  <c r="G242" i="1" l="1"/>
  <c r="H242" i="1" s="1"/>
  <c r="I242" i="1" l="1"/>
  <c r="F243" i="1"/>
  <c r="J242" i="1"/>
  <c r="G243" i="1" l="1"/>
  <c r="H243" i="1" s="1"/>
  <c r="I243" i="1" l="1"/>
  <c r="F244" i="1"/>
  <c r="J243" i="1"/>
  <c r="G244" i="1" l="1"/>
  <c r="H244" i="1"/>
  <c r="J244" i="1" l="1"/>
  <c r="F245" i="1"/>
  <c r="I244" i="1"/>
  <c r="G245" i="1" l="1"/>
  <c r="H245" i="1" s="1"/>
  <c r="I245" i="1" l="1"/>
  <c r="J245" i="1"/>
</calcChain>
</file>

<file path=xl/sharedStrings.xml><?xml version="1.0" encoding="utf-8"?>
<sst xmlns="http://schemas.openxmlformats.org/spreadsheetml/2006/main" count="16" uniqueCount="12">
  <si>
    <t>OLB SOP</t>
  </si>
  <si>
    <t>Interest</t>
  </si>
  <si>
    <t>OLB EoP</t>
  </si>
  <si>
    <t>Survival</t>
  </si>
  <si>
    <t>Period (Start)</t>
  </si>
  <si>
    <t>qx model</t>
  </si>
  <si>
    <t>Expected Payment (model qx)</t>
  </si>
  <si>
    <t>Expected Payment (me qx)</t>
  </si>
  <si>
    <t>Exit Probability Approach</t>
  </si>
  <si>
    <t>Exit Prob (model qx)</t>
  </si>
  <si>
    <t>Exit Prob (me qx)</t>
  </si>
  <si>
    <t>Reducing OLB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</si>
</sst>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0" fontId="0" fillId="0" borderId="0" xfId="0" applyNumberFormat="1"/>
    <xf numFmtId="0" fontId="2" fillId="0" borderId="0" xfId="0" applyFont="1"/>
    <xf numFmtId="9" fontId="2" fillId="0" borderId="0" xfId="0" applyNumberFormat="1" applyFont="1"/>
    <xf numFmtId="0" fontId="2" fillId="0" borderId="4" xfId="0" applyFont="1" applyBorder="1"/>
    <xf numFmtId="0" fontId="0" fillId="0" borderId="4" xfId="0" applyBorder="1"/>
    <xf numFmtId="1" fontId="0" fillId="0" borderId="0" xfId="0" applyNumberFormat="1"/>
    <xf numFmtId="44" fontId="0" fillId="0" borderId="0" xfId="1" applyFont="1" applyBorder="1"/>
    <xf numFmtId="1" fontId="0" fillId="0" borderId="4" xfId="0" applyNumberFormat="1" applyBorder="1"/>
    <xf numFmtId="1" fontId="0" fillId="0" borderId="6" xfId="0" applyNumberFormat="1" applyBorder="1"/>
    <xf numFmtId="1" fontId="0" fillId="0" borderId="7" xfId="0" applyNumberFormat="1" applyBorder="1"/>
    <xf numFmtId="44" fontId="0" fillId="0" borderId="7" xfId="1" applyFont="1" applyBorder="1"/>
    <xf numFmtId="0" fontId="0" fillId="2" borderId="0" xfId="0" applyFill="1"/>
    <xf numFmtId="0" fontId="2" fillId="2" borderId="5" xfId="0" applyFont="1" applyFill="1" applyBorder="1"/>
    <xf numFmtId="44" fontId="0" fillId="2" borderId="5" xfId="1" applyFont="1" applyFill="1" applyBorder="1"/>
    <xf numFmtId="44" fontId="0" fillId="2" borderId="8" xfId="1" applyFont="1" applyFill="1" applyBorder="1"/>
    <xf numFmtId="0" fontId="0" fillId="2" borderId="5" xfId="0" applyFill="1" applyBorder="1"/>
    <xf numFmtId="0" fontId="0" fillId="2" borderId="8" xfId="0" applyFill="1" applyBorder="1"/>
    <xf numFmtId="0" fontId="2" fillId="2" borderId="0" xfId="0" applyFont="1" applyFill="1"/>
    <xf numFmtId="10" fontId="0" fillId="2" borderId="0" xfId="0" applyNumberForma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gb-my.sharepoint.com/personal/ed_nancarrow_uk_ey_com/Documents/Documents/Chargeable/Phoenix%20Structuring/Base%20cashflow%20Model_v2.1.xlsm" TargetMode="External"/><Relationship Id="rId1" Type="http://schemas.openxmlformats.org/officeDocument/2006/relationships/externalLinkPath" Target="/personal/ed_nancarrow_uk_ey_com/Documents/Documents/Chargeable/Phoenix%20Structuring/Base%20cashflow%20Model_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Control Log"/>
      <sheetName val="Inputs_ModelPointFile"/>
      <sheetName val="Model_Info"/>
      <sheetName val="Assumptions --&gt;"/>
      <sheetName val="HPI calc for stress"/>
      <sheetName val="BE"/>
      <sheetName val="Conservative projection"/>
      <sheetName val="Conservative"/>
      <sheetName val="High decrement"/>
      <sheetName val="Low decrement"/>
      <sheetName val="Calculations --&gt;"/>
      <sheetName val="BE Projection"/>
      <sheetName val="BE Projection (2)"/>
      <sheetName val="High decrement proj"/>
      <sheetName val="Low decrement proj"/>
      <sheetName val="Model Outputs --&gt;"/>
      <sheetName val="Output_cashflow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C7">
            <v>3.9146076666667362E-3</v>
          </cell>
        </row>
        <row r="16">
          <cell r="J16">
            <v>5.5741090563576901E-3</v>
          </cell>
          <cell r="K16">
            <v>0.99442589094364231</v>
          </cell>
        </row>
        <row r="17">
          <cell r="J17">
            <v>5.5741090563576901E-3</v>
          </cell>
        </row>
        <row r="18">
          <cell r="J18">
            <v>5.5741090563576901E-3</v>
          </cell>
        </row>
        <row r="19">
          <cell r="J19">
            <v>5.5741090563576901E-3</v>
          </cell>
        </row>
        <row r="20">
          <cell r="J20">
            <v>5.5741090563576901E-3</v>
          </cell>
        </row>
        <row r="21">
          <cell r="J21">
            <v>5.5741090563576901E-3</v>
          </cell>
        </row>
        <row r="22">
          <cell r="J22">
            <v>5.5741090563576901E-3</v>
          </cell>
        </row>
        <row r="23">
          <cell r="J23">
            <v>5.5741090563576901E-3</v>
          </cell>
        </row>
        <row r="24">
          <cell r="J24">
            <v>5.5741090563576901E-3</v>
          </cell>
        </row>
        <row r="25">
          <cell r="J25">
            <v>5.5741090563576901E-3</v>
          </cell>
        </row>
        <row r="26">
          <cell r="J26">
            <v>5.5741090563576901E-3</v>
          </cell>
        </row>
        <row r="27">
          <cell r="J27">
            <v>5.5741090563576901E-3</v>
          </cell>
        </row>
        <row r="28">
          <cell r="J28">
            <v>6.3147397819968143E-3</v>
          </cell>
        </row>
        <row r="29">
          <cell r="J29">
            <v>6.3147397819968143E-3</v>
          </cell>
        </row>
        <row r="30">
          <cell r="J30">
            <v>6.3147397819968143E-3</v>
          </cell>
        </row>
        <row r="31">
          <cell r="J31">
            <v>6.3147397819968143E-3</v>
          </cell>
        </row>
        <row r="32">
          <cell r="J32">
            <v>6.3147397819968143E-3</v>
          </cell>
        </row>
        <row r="33">
          <cell r="J33">
            <v>6.3147397819968143E-3</v>
          </cell>
        </row>
        <row r="34">
          <cell r="J34">
            <v>6.3147397819968143E-3</v>
          </cell>
        </row>
        <row r="35">
          <cell r="J35">
            <v>6.3147397819968143E-3</v>
          </cell>
        </row>
        <row r="36">
          <cell r="J36">
            <v>6.3147397819968143E-3</v>
          </cell>
        </row>
        <row r="37">
          <cell r="J37">
            <v>6.3147397819968143E-3</v>
          </cell>
        </row>
        <row r="38">
          <cell r="J38">
            <v>6.3147397819968143E-3</v>
          </cell>
        </row>
        <row r="39">
          <cell r="J39">
            <v>6.3147397819968143E-3</v>
          </cell>
        </row>
        <row r="40">
          <cell r="J40">
            <v>7.16147570550274E-3</v>
          </cell>
        </row>
        <row r="41">
          <cell r="J41">
            <v>7.16147570550274E-3</v>
          </cell>
        </row>
        <row r="42">
          <cell r="J42">
            <v>7.16147570550274E-3</v>
          </cell>
        </row>
        <row r="43">
          <cell r="J43">
            <v>7.16147570550274E-3</v>
          </cell>
        </row>
        <row r="44">
          <cell r="J44">
            <v>7.16147570550274E-3</v>
          </cell>
        </row>
        <row r="45">
          <cell r="J45">
            <v>7.16147570550274E-3</v>
          </cell>
        </row>
        <row r="46">
          <cell r="J46">
            <v>7.16147570550274E-3</v>
          </cell>
        </row>
        <row r="47">
          <cell r="J47">
            <v>7.16147570550274E-3</v>
          </cell>
        </row>
        <row r="48">
          <cell r="J48">
            <v>7.16147570550274E-3</v>
          </cell>
        </row>
        <row r="49">
          <cell r="J49">
            <v>7.16147570550274E-3</v>
          </cell>
        </row>
        <row r="50">
          <cell r="J50">
            <v>7.16147570550274E-3</v>
          </cell>
        </row>
        <row r="51">
          <cell r="J51">
            <v>7.16147570550274E-3</v>
          </cell>
        </row>
        <row r="52">
          <cell r="J52">
            <v>8.1128103125930329E-3</v>
          </cell>
        </row>
        <row r="53">
          <cell r="J53">
            <v>8.1128103125930329E-3</v>
          </cell>
        </row>
        <row r="54">
          <cell r="J54">
            <v>8.1128103125930329E-3</v>
          </cell>
        </row>
        <row r="55">
          <cell r="J55">
            <v>8.1128103125930329E-3</v>
          </cell>
        </row>
        <row r="56">
          <cell r="J56">
            <v>8.1128103125930329E-3</v>
          </cell>
        </row>
        <row r="57">
          <cell r="J57">
            <v>8.1128103125930329E-3</v>
          </cell>
        </row>
        <row r="58">
          <cell r="J58">
            <v>8.1128103125930329E-3</v>
          </cell>
        </row>
        <row r="59">
          <cell r="J59">
            <v>8.1128103125930329E-3</v>
          </cell>
        </row>
        <row r="60">
          <cell r="J60">
            <v>8.1128103125930329E-3</v>
          </cell>
        </row>
        <row r="61">
          <cell r="J61">
            <v>8.1128103125930329E-3</v>
          </cell>
        </row>
        <row r="62">
          <cell r="J62">
            <v>8.1128103125930329E-3</v>
          </cell>
        </row>
        <row r="63">
          <cell r="J63">
            <v>8.1128103125930329E-3</v>
          </cell>
        </row>
        <row r="64">
          <cell r="J64">
            <v>9.1820677187309796E-3</v>
          </cell>
        </row>
        <row r="65">
          <cell r="J65">
            <v>9.1820677187309796E-3</v>
          </cell>
        </row>
        <row r="66">
          <cell r="J66">
            <v>9.1820677187309796E-3</v>
          </cell>
        </row>
        <row r="67">
          <cell r="J67">
            <v>9.1820677187309796E-3</v>
          </cell>
        </row>
        <row r="68">
          <cell r="J68">
            <v>9.1820677187309796E-3</v>
          </cell>
        </row>
        <row r="69">
          <cell r="J69">
            <v>9.1820677187309796E-3</v>
          </cell>
        </row>
        <row r="70">
          <cell r="J70">
            <v>9.1820677187309796E-3</v>
          </cell>
        </row>
        <row r="71">
          <cell r="J71">
            <v>9.1820677187309796E-3</v>
          </cell>
        </row>
        <row r="72">
          <cell r="J72">
            <v>9.1820677187309796E-3</v>
          </cell>
        </row>
        <row r="73">
          <cell r="J73">
            <v>9.1820677187309796E-3</v>
          </cell>
        </row>
        <row r="74">
          <cell r="J74">
            <v>9.1820677187309796E-3</v>
          </cell>
        </row>
        <row r="75">
          <cell r="J75">
            <v>9.1820677187309796E-3</v>
          </cell>
        </row>
        <row r="76">
          <cell r="J76">
            <v>1.0377603607895303E-2</v>
          </cell>
        </row>
        <row r="77">
          <cell r="J77">
            <v>1.0377603607895303E-2</v>
          </cell>
        </row>
        <row r="78">
          <cell r="J78">
            <v>1.0377603607895303E-2</v>
          </cell>
        </row>
        <row r="79">
          <cell r="J79">
            <v>1.0377603607895303E-2</v>
          </cell>
        </row>
        <row r="80">
          <cell r="J80">
            <v>1.0377603607895303E-2</v>
          </cell>
        </row>
        <row r="81">
          <cell r="J81">
            <v>1.0377603607895303E-2</v>
          </cell>
        </row>
        <row r="82">
          <cell r="J82">
            <v>1.0377603607895303E-2</v>
          </cell>
        </row>
        <row r="83">
          <cell r="J83">
            <v>1.0377603607895303E-2</v>
          </cell>
        </row>
        <row r="84">
          <cell r="J84">
            <v>1.0377603607895303E-2</v>
          </cell>
        </row>
        <row r="85">
          <cell r="J85">
            <v>1.0377603607895303E-2</v>
          </cell>
        </row>
        <row r="86">
          <cell r="J86">
            <v>1.0377603607895303E-2</v>
          </cell>
        </row>
        <row r="87">
          <cell r="J87">
            <v>1.0377603607895303E-2</v>
          </cell>
        </row>
        <row r="88">
          <cell r="J88">
            <v>1.169662079549072E-2</v>
          </cell>
        </row>
        <row r="89">
          <cell r="J89">
            <v>1.169662079549072E-2</v>
          </cell>
        </row>
        <row r="90">
          <cell r="J90">
            <v>1.169662079549072E-2</v>
          </cell>
        </row>
        <row r="91">
          <cell r="J91">
            <v>1.169662079549072E-2</v>
          </cell>
        </row>
        <row r="92">
          <cell r="J92">
            <v>1.169662079549072E-2</v>
          </cell>
        </row>
        <row r="93">
          <cell r="J93">
            <v>1.169662079549072E-2</v>
          </cell>
        </row>
        <row r="94">
          <cell r="J94">
            <v>1.169662079549072E-2</v>
          </cell>
        </row>
        <row r="95">
          <cell r="J95">
            <v>1.169662079549072E-2</v>
          </cell>
        </row>
        <row r="96">
          <cell r="J96">
            <v>1.169662079549072E-2</v>
          </cell>
        </row>
        <row r="97">
          <cell r="J97">
            <v>1.169662079549072E-2</v>
          </cell>
        </row>
        <row r="98">
          <cell r="J98">
            <v>1.169662079549072E-2</v>
          </cell>
        </row>
        <row r="99">
          <cell r="J99">
            <v>1.169662079549072E-2</v>
          </cell>
        </row>
        <row r="100">
          <cell r="J100">
            <v>1.3149935057606088E-2</v>
          </cell>
        </row>
        <row r="101">
          <cell r="J101">
            <v>1.3149935057606088E-2</v>
          </cell>
        </row>
        <row r="102">
          <cell r="J102">
            <v>1.3149935057606088E-2</v>
          </cell>
        </row>
        <row r="103">
          <cell r="J103">
            <v>1.3149935057606088E-2</v>
          </cell>
        </row>
        <row r="104">
          <cell r="J104">
            <v>1.3149935057606088E-2</v>
          </cell>
        </row>
        <row r="105">
          <cell r="J105">
            <v>1.3149935057606088E-2</v>
          </cell>
        </row>
        <row r="106">
          <cell r="J106">
            <v>1.3149935057606088E-2</v>
          </cell>
        </row>
        <row r="107">
          <cell r="J107">
            <v>1.3149935057606088E-2</v>
          </cell>
        </row>
        <row r="108">
          <cell r="J108">
            <v>1.3149935057606088E-2</v>
          </cell>
        </row>
        <row r="109">
          <cell r="J109">
            <v>1.3149935057606088E-2</v>
          </cell>
        </row>
        <row r="110">
          <cell r="J110">
            <v>1.3149935057606088E-2</v>
          </cell>
        </row>
        <row r="111">
          <cell r="J111">
            <v>1.3149935057606088E-2</v>
          </cell>
        </row>
        <row r="112">
          <cell r="J112">
            <v>1.4759352897616984E-2</v>
          </cell>
        </row>
        <row r="113">
          <cell r="J113">
            <v>1.4759352897616984E-2</v>
          </cell>
        </row>
        <row r="114">
          <cell r="J114">
            <v>1.4759352897616984E-2</v>
          </cell>
        </row>
        <row r="115">
          <cell r="J115">
            <v>1.4759352897616984E-2</v>
          </cell>
        </row>
        <row r="116">
          <cell r="J116">
            <v>1.4759352897616984E-2</v>
          </cell>
        </row>
        <row r="117">
          <cell r="J117">
            <v>1.4759352897616984E-2</v>
          </cell>
        </row>
        <row r="118">
          <cell r="J118">
            <v>1.4759352897616984E-2</v>
          </cell>
        </row>
        <row r="119">
          <cell r="J119">
            <v>1.4759352897616984E-2</v>
          </cell>
        </row>
        <row r="120">
          <cell r="J120">
            <v>1.4759352897616984E-2</v>
          </cell>
        </row>
        <row r="121">
          <cell r="J121">
            <v>1.4759352897616984E-2</v>
          </cell>
        </row>
        <row r="122">
          <cell r="J122">
            <v>1.4759352897616984E-2</v>
          </cell>
        </row>
        <row r="123">
          <cell r="J123">
            <v>1.4759352897616984E-2</v>
          </cell>
        </row>
        <row r="124">
          <cell r="J124">
            <v>1.6545235920025325E-2</v>
          </cell>
        </row>
        <row r="125">
          <cell r="J125">
            <v>1.6545235920025325E-2</v>
          </cell>
        </row>
        <row r="126">
          <cell r="J126">
            <v>1.6545235920025325E-2</v>
          </cell>
        </row>
        <row r="127">
          <cell r="J127">
            <v>1.6545235920025325E-2</v>
          </cell>
        </row>
        <row r="128">
          <cell r="J128">
            <v>1.6545235920025325E-2</v>
          </cell>
        </row>
        <row r="129">
          <cell r="J129">
            <v>1.6545235920025325E-2</v>
          </cell>
        </row>
        <row r="130">
          <cell r="J130">
            <v>1.6545235920025325E-2</v>
          </cell>
        </row>
        <row r="131">
          <cell r="J131">
            <v>1.6545235920025325E-2</v>
          </cell>
        </row>
        <row r="132">
          <cell r="J132">
            <v>1.6545235920025325E-2</v>
          </cell>
        </row>
        <row r="133">
          <cell r="J133">
            <v>1.6545235920025325E-2</v>
          </cell>
        </row>
        <row r="134">
          <cell r="J134">
            <v>1.6545235920025325E-2</v>
          </cell>
        </row>
        <row r="135">
          <cell r="J135">
            <v>1.6545235920025325E-2</v>
          </cell>
        </row>
        <row r="136">
          <cell r="J136">
            <v>1.8421920158795624E-2</v>
          </cell>
        </row>
        <row r="137">
          <cell r="J137">
            <v>1.8421920158795624E-2</v>
          </cell>
        </row>
        <row r="138">
          <cell r="J138">
            <v>1.8421920158795624E-2</v>
          </cell>
        </row>
        <row r="139">
          <cell r="J139">
            <v>1.8421920158795624E-2</v>
          </cell>
        </row>
        <row r="140">
          <cell r="J140">
            <v>1.8421920158795624E-2</v>
          </cell>
        </row>
        <row r="141">
          <cell r="J141">
            <v>1.8421920158795624E-2</v>
          </cell>
        </row>
        <row r="142">
          <cell r="J142">
            <v>1.8421920158795624E-2</v>
          </cell>
        </row>
        <row r="143">
          <cell r="J143">
            <v>1.8421920158795624E-2</v>
          </cell>
        </row>
        <row r="144">
          <cell r="J144">
            <v>1.8421920158795624E-2</v>
          </cell>
        </row>
        <row r="145">
          <cell r="J145">
            <v>1.8421920158795624E-2</v>
          </cell>
        </row>
        <row r="146">
          <cell r="J146">
            <v>1.8421920158795624E-2</v>
          </cell>
        </row>
        <row r="147">
          <cell r="J147">
            <v>1.8421920158795624E-2</v>
          </cell>
        </row>
        <row r="148">
          <cell r="J148">
            <v>2.0488691527111413E-2</v>
          </cell>
        </row>
        <row r="149">
          <cell r="J149">
            <v>2.0488691527111413E-2</v>
          </cell>
        </row>
        <row r="150">
          <cell r="J150">
            <v>2.0488691527111413E-2</v>
          </cell>
        </row>
        <row r="151">
          <cell r="J151">
            <v>2.0488691527111413E-2</v>
          </cell>
        </row>
        <row r="152">
          <cell r="J152">
            <v>2.0488691527111413E-2</v>
          </cell>
        </row>
        <row r="153">
          <cell r="J153">
            <v>2.0488691527111413E-2</v>
          </cell>
        </row>
        <row r="154">
          <cell r="J154">
            <v>2.0488691527111413E-2</v>
          </cell>
        </row>
        <row r="155">
          <cell r="J155">
            <v>2.0488691527111413E-2</v>
          </cell>
        </row>
        <row r="156">
          <cell r="J156">
            <v>2.0488691527111413E-2</v>
          </cell>
        </row>
        <row r="157">
          <cell r="J157">
            <v>2.0488691527111413E-2</v>
          </cell>
        </row>
        <row r="158">
          <cell r="J158">
            <v>2.0488691527111413E-2</v>
          </cell>
        </row>
        <row r="159">
          <cell r="J159">
            <v>2.0488691527111413E-2</v>
          </cell>
        </row>
        <row r="160">
          <cell r="J160">
            <v>2.2760824955274428E-2</v>
          </cell>
        </row>
        <row r="161">
          <cell r="J161">
            <v>2.2760824955274428E-2</v>
          </cell>
        </row>
        <row r="162">
          <cell r="J162">
            <v>2.2760824955274428E-2</v>
          </cell>
        </row>
        <row r="163">
          <cell r="J163">
            <v>2.2760824955274428E-2</v>
          </cell>
        </row>
        <row r="164">
          <cell r="J164">
            <v>2.2760824955274428E-2</v>
          </cell>
        </row>
        <row r="165">
          <cell r="J165">
            <v>2.2760824955274428E-2</v>
          </cell>
        </row>
        <row r="166">
          <cell r="J166">
            <v>2.2760824955274428E-2</v>
          </cell>
        </row>
        <row r="167">
          <cell r="J167">
            <v>2.2760824955274428E-2</v>
          </cell>
        </row>
        <row r="168">
          <cell r="J168">
            <v>2.2760824955274428E-2</v>
          </cell>
        </row>
        <row r="169">
          <cell r="J169">
            <v>2.2760824955274428E-2</v>
          </cell>
        </row>
        <row r="170">
          <cell r="J170">
            <v>2.2760824955274428E-2</v>
          </cell>
        </row>
        <row r="171">
          <cell r="J171">
            <v>2.2760824955274428E-2</v>
          </cell>
        </row>
        <row r="172">
          <cell r="J172">
            <v>2.5260678714052021E-2</v>
          </cell>
        </row>
        <row r="173">
          <cell r="J173">
            <v>2.5260678714052021E-2</v>
          </cell>
        </row>
        <row r="174">
          <cell r="J174">
            <v>2.5260678714052021E-2</v>
          </cell>
        </row>
        <row r="175">
          <cell r="J175">
            <v>2.5260678714052021E-2</v>
          </cell>
        </row>
        <row r="176">
          <cell r="J176">
            <v>2.5260678714052021E-2</v>
          </cell>
        </row>
        <row r="177">
          <cell r="J177">
            <v>2.5260678714052021E-2</v>
          </cell>
        </row>
        <row r="178">
          <cell r="J178">
            <v>2.5260678714052021E-2</v>
          </cell>
        </row>
        <row r="179">
          <cell r="J179">
            <v>2.5260678714052021E-2</v>
          </cell>
        </row>
        <row r="180">
          <cell r="J180">
            <v>2.5260678714052021E-2</v>
          </cell>
        </row>
        <row r="181">
          <cell r="J181">
            <v>2.5260678714052021E-2</v>
          </cell>
        </row>
        <row r="182">
          <cell r="J182">
            <v>2.5260678714052021E-2</v>
          </cell>
        </row>
        <row r="183">
          <cell r="J183">
            <v>2.5260678714052021E-2</v>
          </cell>
        </row>
        <row r="184">
          <cell r="J184">
            <v>2.7997881522380696E-2</v>
          </cell>
        </row>
        <row r="185">
          <cell r="J185">
            <v>2.7997881522380696E-2</v>
          </cell>
        </row>
        <row r="186">
          <cell r="J186">
            <v>2.7997881522380696E-2</v>
          </cell>
        </row>
        <row r="187">
          <cell r="J187">
            <v>2.7997881522380696E-2</v>
          </cell>
        </row>
        <row r="188">
          <cell r="J188">
            <v>2.7997881522380696E-2</v>
          </cell>
        </row>
        <row r="189">
          <cell r="J189">
            <v>2.7997881522380696E-2</v>
          </cell>
        </row>
        <row r="190">
          <cell r="J190">
            <v>2.7997881522380696E-2</v>
          </cell>
        </row>
        <row r="191">
          <cell r="J191">
            <v>2.7997881522380696E-2</v>
          </cell>
        </row>
        <row r="192">
          <cell r="J192">
            <v>2.7997881522380696E-2</v>
          </cell>
        </row>
        <row r="193">
          <cell r="J193">
            <v>2.7997881522380696E-2</v>
          </cell>
        </row>
        <row r="194">
          <cell r="J194">
            <v>2.7997881522380696E-2</v>
          </cell>
        </row>
        <row r="195">
          <cell r="J195">
            <v>2.7997881522380696E-2</v>
          </cell>
        </row>
        <row r="196">
          <cell r="J196">
            <v>3.0972923031780231E-2</v>
          </cell>
        </row>
        <row r="197">
          <cell r="J197">
            <v>3.0972923031780231E-2</v>
          </cell>
        </row>
        <row r="198">
          <cell r="J198">
            <v>3.0972923031780231E-2</v>
          </cell>
        </row>
        <row r="199">
          <cell r="J199">
            <v>3.0972923031780231E-2</v>
          </cell>
        </row>
        <row r="200">
          <cell r="J200">
            <v>3.0972923031780231E-2</v>
          </cell>
        </row>
        <row r="201">
          <cell r="J201">
            <v>3.0972923031780231E-2</v>
          </cell>
        </row>
        <row r="202">
          <cell r="J202">
            <v>3.0972923031780231E-2</v>
          </cell>
        </row>
        <row r="203">
          <cell r="J203">
            <v>3.0972923031780231E-2</v>
          </cell>
        </row>
        <row r="204">
          <cell r="J204">
            <v>3.0972923031780231E-2</v>
          </cell>
        </row>
        <row r="205">
          <cell r="J205">
            <v>3.0972923031780231E-2</v>
          </cell>
        </row>
        <row r="206">
          <cell r="J206">
            <v>3.0972923031780231E-2</v>
          </cell>
        </row>
        <row r="207">
          <cell r="J207">
            <v>3.0972923031780231E-2</v>
          </cell>
        </row>
        <row r="208">
          <cell r="J208">
            <v>3.4200726090114597E-2</v>
          </cell>
        </row>
        <row r="209">
          <cell r="J209">
            <v>3.4200726090114597E-2</v>
          </cell>
        </row>
        <row r="210">
          <cell r="J210">
            <v>3.4200726090114597E-2</v>
          </cell>
        </row>
        <row r="211">
          <cell r="J211">
            <v>3.4200726090114597E-2</v>
          </cell>
        </row>
        <row r="212">
          <cell r="J212">
            <v>3.4200726090114597E-2</v>
          </cell>
        </row>
        <row r="213">
          <cell r="J213">
            <v>3.4200726090114597E-2</v>
          </cell>
        </row>
        <row r="214">
          <cell r="J214">
            <v>3.4200726090114597E-2</v>
          </cell>
        </row>
        <row r="215">
          <cell r="J215">
            <v>3.4200726090114597E-2</v>
          </cell>
        </row>
        <row r="216">
          <cell r="J216">
            <v>3.4200726090114597E-2</v>
          </cell>
        </row>
        <row r="217">
          <cell r="J217">
            <v>3.4200726090114597E-2</v>
          </cell>
        </row>
        <row r="218">
          <cell r="J218">
            <v>3.4200726090114597E-2</v>
          </cell>
        </row>
        <row r="219">
          <cell r="J219">
            <v>3.4200726090114597E-2</v>
          </cell>
        </row>
        <row r="220">
          <cell r="J220">
            <v>3.7734901076765803E-2</v>
          </cell>
        </row>
        <row r="221">
          <cell r="J221">
            <v>3.7734901076765803E-2</v>
          </cell>
        </row>
        <row r="222">
          <cell r="J222">
            <v>3.7734901076765803E-2</v>
          </cell>
        </row>
        <row r="223">
          <cell r="J223">
            <v>3.7734901076765803E-2</v>
          </cell>
        </row>
        <row r="224">
          <cell r="J224">
            <v>3.7734901076765803E-2</v>
          </cell>
        </row>
        <row r="225">
          <cell r="J225">
            <v>3.7734901076765803E-2</v>
          </cell>
        </row>
        <row r="226">
          <cell r="J226">
            <v>3.7734901076765803E-2</v>
          </cell>
        </row>
        <row r="227">
          <cell r="J227">
            <v>3.7734901076765803E-2</v>
          </cell>
        </row>
        <row r="228">
          <cell r="J228">
            <v>3.7734901076765803E-2</v>
          </cell>
        </row>
        <row r="229">
          <cell r="J229">
            <v>3.7734901076765803E-2</v>
          </cell>
        </row>
        <row r="230">
          <cell r="J230">
            <v>3.7734901076765803E-2</v>
          </cell>
        </row>
        <row r="231">
          <cell r="J231">
            <v>3.7734901076765803E-2</v>
          </cell>
        </row>
        <row r="232">
          <cell r="J232">
            <v>4.1629434194850434E-2</v>
          </cell>
        </row>
        <row r="233">
          <cell r="J233">
            <v>4.1629434194850434E-2</v>
          </cell>
        </row>
        <row r="234">
          <cell r="J234">
            <v>4.1629434194850434E-2</v>
          </cell>
        </row>
        <row r="235">
          <cell r="J235">
            <v>4.1629434194850434E-2</v>
          </cell>
        </row>
        <row r="236">
          <cell r="J236">
            <v>4.1629434194850434E-2</v>
          </cell>
        </row>
        <row r="237">
          <cell r="J237">
            <v>4.1629434194850434E-2</v>
          </cell>
        </row>
        <row r="238">
          <cell r="J238">
            <v>4.1629434194850434E-2</v>
          </cell>
        </row>
        <row r="239">
          <cell r="J239">
            <v>4.1629434194850434E-2</v>
          </cell>
        </row>
        <row r="240">
          <cell r="J240">
            <v>4.1629434194850434E-2</v>
          </cell>
        </row>
        <row r="241">
          <cell r="J241">
            <v>4.1629434194850434E-2</v>
          </cell>
        </row>
        <row r="242">
          <cell r="J242">
            <v>4.1629434194850434E-2</v>
          </cell>
        </row>
        <row r="243">
          <cell r="J243">
            <v>4.1629434194850434E-2</v>
          </cell>
        </row>
        <row r="244">
          <cell r="J244">
            <v>4.587488830194264E-2</v>
          </cell>
        </row>
        <row r="245">
          <cell r="J245">
            <v>4.587488830194264E-2</v>
          </cell>
        </row>
        <row r="246">
          <cell r="J246">
            <v>4.587488830194264E-2</v>
          </cell>
        </row>
        <row r="247">
          <cell r="J247">
            <v>4.587488830194264E-2</v>
          </cell>
        </row>
        <row r="248">
          <cell r="J248">
            <v>4.587488830194264E-2</v>
          </cell>
        </row>
        <row r="249">
          <cell r="J249">
            <v>4.587488830194264E-2</v>
          </cell>
        </row>
        <row r="250">
          <cell r="J250">
            <v>4.587488830194264E-2</v>
          </cell>
        </row>
        <row r="251">
          <cell r="J251">
            <v>4.587488830194264E-2</v>
          </cell>
        </row>
        <row r="252">
          <cell r="J252">
            <v>4.587488830194264E-2</v>
          </cell>
        </row>
        <row r="253">
          <cell r="J253">
            <v>4.587488830194264E-2</v>
          </cell>
        </row>
        <row r="254">
          <cell r="J254">
            <v>4.587488830194264E-2</v>
          </cell>
        </row>
        <row r="255">
          <cell r="J255">
            <v>4.587488830194264E-2</v>
          </cell>
        </row>
        <row r="256">
          <cell r="J256">
            <v>1</v>
          </cell>
        </row>
        <row r="257">
          <cell r="J257">
            <v>1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1342-BBA7-491A-ABFA-55E0B6B8E0B1}">
  <sheetPr codeName="Sheet1"/>
  <dimension ref="A1:O483"/>
  <sheetViews>
    <sheetView tabSelected="1" workbookViewId="0">
      <selection activeCell="E8" sqref="E8"/>
    </sheetView>
  </sheetViews>
  <sheetFormatPr defaultRowHeight="15" x14ac:dyDescent="0.25"/>
  <cols>
    <col min="1" max="1" width="12.5703125" bestFit="1" customWidth="1"/>
    <col min="2" max="2" width="13.7109375" customWidth="1"/>
    <col min="3" max="3" width="15" customWidth="1"/>
    <col min="4" max="4" width="19.42578125" bestFit="1" customWidth="1"/>
    <col min="5" max="5" width="19.42578125" style="12" bestFit="1" customWidth="1"/>
    <col min="9" max="9" width="27.140625" bestFit="1" customWidth="1"/>
    <col min="10" max="10" width="28.140625" style="12" customWidth="1"/>
    <col min="12" max="12" width="11.5703125" bestFit="1" customWidth="1"/>
    <col min="14" max="14" width="28.42578125" bestFit="1" customWidth="1"/>
    <col min="15" max="15" width="25.5703125" style="12" bestFit="1" customWidth="1"/>
  </cols>
  <sheetData>
    <row r="1" spans="1:15" ht="15.75" thickBot="1" x14ac:dyDescent="0.3"/>
    <row r="2" spans="1:15" x14ac:dyDescent="0.25">
      <c r="B2" s="2" t="s">
        <v>3</v>
      </c>
      <c r="F2" s="20" t="s">
        <v>8</v>
      </c>
      <c r="G2" s="21"/>
      <c r="H2" s="21"/>
      <c r="I2" s="21"/>
      <c r="J2" s="22"/>
      <c r="L2" s="20" t="s">
        <v>11</v>
      </c>
      <c r="M2" s="21"/>
      <c r="N2" s="21"/>
      <c r="O2" s="22"/>
    </row>
    <row r="3" spans="1:15" x14ac:dyDescent="0.25">
      <c r="A3" s="2" t="s">
        <v>4</v>
      </c>
      <c r="B3" s="3">
        <v>1</v>
      </c>
      <c r="C3" s="2" t="s">
        <v>5</v>
      </c>
      <c r="D3" s="2" t="s">
        <v>9</v>
      </c>
      <c r="E3" s="18" t="s">
        <v>10</v>
      </c>
      <c r="F3" s="4" t="s">
        <v>0</v>
      </c>
      <c r="G3" s="2" t="s">
        <v>1</v>
      </c>
      <c r="H3" s="2" t="s">
        <v>2</v>
      </c>
      <c r="I3" s="2" t="s">
        <v>6</v>
      </c>
      <c r="J3" s="13" t="s">
        <v>7</v>
      </c>
      <c r="L3" s="4" t="s">
        <v>0</v>
      </c>
      <c r="M3" s="2" t="s">
        <v>1</v>
      </c>
      <c r="N3" s="2" t="s">
        <v>6</v>
      </c>
      <c r="O3" s="13" t="s">
        <v>7</v>
      </c>
    </row>
    <row r="4" spans="1:15" x14ac:dyDescent="0.25">
      <c r="A4">
        <v>0</v>
      </c>
      <c r="B4" s="1">
        <f>'[1]BE Projection'!$K$16</f>
        <v>0.99442589094364231</v>
      </c>
      <c r="C4" s="1">
        <f>'[1]BE Projection'!$J16</f>
        <v>5.5741090563576901E-3</v>
      </c>
      <c r="D4" s="1">
        <f t="shared" ref="D4:D11" si="0">B3*C4</f>
        <v>5.5741090563576901E-3</v>
      </c>
      <c r="E4" s="19">
        <v>5.4063599999999998E-3</v>
      </c>
      <c r="F4" s="5">
        <f>73625</f>
        <v>73625</v>
      </c>
      <c r="G4" s="6">
        <f>F4*'[1]BE Projection'!$C$7</f>
        <v>288.21298945833843</v>
      </c>
      <c r="H4" s="6">
        <f>SUM(F4:G4)</f>
        <v>73913.212989458334</v>
      </c>
      <c r="I4" s="7">
        <f t="shared" ref="I4:I11" si="1">H4*D4</f>
        <v>412.00030990903457</v>
      </c>
      <c r="J4" s="14">
        <f t="shared" ref="J4:J11" si="2">H4*E4</f>
        <v>399.60143817768795</v>
      </c>
      <c r="K4">
        <v>399.60206210908729</v>
      </c>
      <c r="L4" s="5">
        <f>F4</f>
        <v>73625</v>
      </c>
      <c r="M4" s="6">
        <f>L4*'[1]BE Projection'!$C$7</f>
        <v>288.21298945833843</v>
      </c>
      <c r="N4" s="7">
        <f>(L4+M4)*C4</f>
        <v>412.00030990903457</v>
      </c>
      <c r="O4" s="16"/>
    </row>
    <row r="5" spans="1:15" x14ac:dyDescent="0.25">
      <c r="A5">
        <v>1</v>
      </c>
      <c r="B5" s="1">
        <f>B4*(1-C4)</f>
        <v>0.98888285257905684</v>
      </c>
      <c r="C5" s="1">
        <f>'[1]BE Projection'!$J17</f>
        <v>5.5741090563576901E-3</v>
      </c>
      <c r="D5" s="1">
        <f t="shared" si="0"/>
        <v>5.5430383645855216E-3</v>
      </c>
      <c r="E5" s="19">
        <v>5.4063599999999998E-3</v>
      </c>
      <c r="F5" s="8">
        <f>H4</f>
        <v>73913.212989458334</v>
      </c>
      <c r="G5" s="6">
        <f>F5*'[1]BE Projection'!$C$7</f>
        <v>289.341230236505</v>
      </c>
      <c r="H5" s="6">
        <f>SUM(F5:G5)</f>
        <v>74202.554219694837</v>
      </c>
      <c r="I5" s="7">
        <f t="shared" si="1"/>
        <v>411.30760479000577</v>
      </c>
      <c r="J5" s="14">
        <f t="shared" si="2"/>
        <v>401.16572103118938</v>
      </c>
      <c r="K5">
        <v>401.16634739059509</v>
      </c>
      <c r="L5" s="8">
        <f>L4+M4-N4</f>
        <v>73501.212679549295</v>
      </c>
      <c r="M5" s="6">
        <f>L5*'[1]BE Projection'!$C$7</f>
        <v>287.728410664666</v>
      </c>
      <c r="N5" s="7">
        <f>(L5+M5)*C5</f>
        <v>411.30760479000577</v>
      </c>
      <c r="O5" s="16"/>
    </row>
    <row r="6" spans="1:15" x14ac:dyDescent="0.25">
      <c r="A6">
        <v>2</v>
      </c>
      <c r="B6" s="1">
        <f t="shared" ref="B6:B11" si="3">B5*(1-C5)</f>
        <v>0.98337071171481905</v>
      </c>
      <c r="C6" s="1">
        <f>'[1]BE Projection'!$J18</f>
        <v>5.5741090563576901E-3</v>
      </c>
      <c r="D6" s="1">
        <f t="shared" si="0"/>
        <v>5.5121408642377469E-3</v>
      </c>
      <c r="E6" s="19">
        <v>5.4063599999999998E-3</v>
      </c>
      <c r="F6" s="8">
        <f t="shared" ref="F6:F11" si="4">H5</f>
        <v>74202.554219694837</v>
      </c>
      <c r="G6" s="6">
        <f>F6*'[1]BE Projection'!$C$7</f>
        <v>290.4738876346716</v>
      </c>
      <c r="H6" s="6">
        <f t="shared" ref="H6:H11" si="5">SUM(F6:G6)</f>
        <v>74493.028107329505</v>
      </c>
      <c r="I6" s="7">
        <f t="shared" si="1"/>
        <v>410.61606433122205</v>
      </c>
      <c r="J6" s="14">
        <f t="shared" si="2"/>
        <v>402.73612743834195</v>
      </c>
      <c r="K6">
        <v>402.73675623520228</v>
      </c>
      <c r="L6" s="8">
        <f t="shared" ref="L6:L8" si="6">L5+M5-N5</f>
        <v>73377.633485423954</v>
      </c>
      <c r="M6" s="6">
        <f>L6*'[1]BE Projection'!$C$7</f>
        <v>287.24464660390242</v>
      </c>
      <c r="N6" s="7">
        <f t="shared" ref="N6:N8" si="7">(L6+M6)*C6</f>
        <v>410.61606433122199</v>
      </c>
      <c r="O6" s="16"/>
    </row>
    <row r="7" spans="1:15" x14ac:dyDescent="0.25">
      <c r="A7">
        <v>3</v>
      </c>
      <c r="B7" s="1">
        <f t="shared" si="3"/>
        <v>0.97788929612489262</v>
      </c>
      <c r="C7" s="1">
        <f>'[1]BE Projection'!$J19</f>
        <v>5.5741090563576901E-3</v>
      </c>
      <c r="D7" s="1">
        <f t="shared" si="0"/>
        <v>5.48141558992648E-3</v>
      </c>
      <c r="E7" s="19">
        <v>5.4063599999999998E-3</v>
      </c>
      <c r="F7" s="8">
        <f t="shared" si="4"/>
        <v>74493.028107329505</v>
      </c>
      <c r="G7" s="6">
        <f>F7*'[1]BE Projection'!$C$7</f>
        <v>291.61097894217272</v>
      </c>
      <c r="H7" s="6">
        <f t="shared" si="5"/>
        <v>74784.63908627168</v>
      </c>
      <c r="I7" s="7">
        <f t="shared" si="1"/>
        <v>409.92568657451477</v>
      </c>
      <c r="J7" s="14">
        <f t="shared" si="2"/>
        <v>404.31268137045572</v>
      </c>
      <c r="K7">
        <v>404.31331261425572</v>
      </c>
      <c r="L7" s="8">
        <f t="shared" si="6"/>
        <v>73254.262067696633</v>
      </c>
      <c r="M7" s="6">
        <f>L7*'[1]BE Projection'!$C$7</f>
        <v>286.76169590621953</v>
      </c>
      <c r="N7" s="7">
        <f t="shared" si="7"/>
        <v>409.92568657451471</v>
      </c>
      <c r="O7" s="16"/>
    </row>
    <row r="8" spans="1:15" x14ac:dyDescent="0.25">
      <c r="A8">
        <v>4</v>
      </c>
      <c r="B8" s="1">
        <f t="shared" si="3"/>
        <v>0.97243843454324763</v>
      </c>
      <c r="C8" s="1">
        <f>'[1]BE Projection'!$J20</f>
        <v>5.5741090563576901E-3</v>
      </c>
      <c r="D8" s="1">
        <f t="shared" si="0"/>
        <v>5.4508615816450112E-3</v>
      </c>
      <c r="E8" s="19">
        <v>5.4063599999999998E-3</v>
      </c>
      <c r="F8" s="8">
        <f t="shared" si="4"/>
        <v>74784.63908627168</v>
      </c>
      <c r="G8" s="6">
        <f>F8*'[1]BE Projection'!$C$7</f>
        <v>292.75252151602399</v>
      </c>
      <c r="H8" s="6">
        <f t="shared" si="5"/>
        <v>75077.391607787707</v>
      </c>
      <c r="I8" s="7">
        <f t="shared" si="1"/>
        <v>409.23646956500761</v>
      </c>
      <c r="J8" s="14">
        <f t="shared" si="2"/>
        <v>405.89540689267915</v>
      </c>
      <c r="K8">
        <v>405.89604059294038</v>
      </c>
      <c r="L8" s="8">
        <f t="shared" si="6"/>
        <v>73131.098077028335</v>
      </c>
      <c r="M8" s="6">
        <f>L8*'[1]BE Projection'!$C$7</f>
        <v>286.27955720409216</v>
      </c>
      <c r="N8" s="7">
        <f t="shared" si="7"/>
        <v>409.2364695650075</v>
      </c>
      <c r="O8" s="16"/>
    </row>
    <row r="9" spans="1:15" x14ac:dyDescent="0.25">
      <c r="A9">
        <v>5</v>
      </c>
      <c r="B9" s="1">
        <f t="shared" si="3"/>
        <v>0.96701795665850987</v>
      </c>
      <c r="C9" s="1">
        <f>'[1]BE Projection'!$J21</f>
        <v>5.5741090563576901E-3</v>
      </c>
      <c r="D9" s="1">
        <f t="shared" si="0"/>
        <v>5.4204778847378116E-3</v>
      </c>
      <c r="E9" s="19">
        <v>5.4063599999999998E-3</v>
      </c>
      <c r="F9" s="8">
        <f t="shared" si="4"/>
        <v>75077.391607787707</v>
      </c>
      <c r="G9" s="6">
        <f>F9*'[1]BE Projection'!$C$7</f>
        <v>293.89853278118665</v>
      </c>
      <c r="H9" s="6">
        <f t="shared" si="5"/>
        <v>75371.29014056889</v>
      </c>
      <c r="I9" s="7">
        <f t="shared" si="1"/>
        <v>408.54841135111076</v>
      </c>
      <c r="J9" s="14">
        <f t="shared" si="2"/>
        <v>407.48432816436599</v>
      </c>
      <c r="K9">
        <v>407.48496433064759</v>
      </c>
      <c r="L9" s="8">
        <f>L8+M8-N8</f>
        <v>73008.141164667424</v>
      </c>
      <c r="M9" s="6">
        <f>L9*'[1]BE Projection'!$C$7</f>
        <v>285.79822913229447</v>
      </c>
      <c r="N9" s="7">
        <f>(L9+M9)*C9</f>
        <v>408.5484113511107</v>
      </c>
      <c r="O9" s="16"/>
    </row>
    <row r="10" spans="1:15" x14ac:dyDescent="0.25">
      <c r="A10">
        <v>6</v>
      </c>
      <c r="B10" s="1">
        <f t="shared" si="3"/>
        <v>0.96162769310863916</v>
      </c>
      <c r="C10" s="1">
        <f>'[1]BE Projection'!$J22</f>
        <v>5.5741090563576901E-3</v>
      </c>
      <c r="D10" s="1">
        <f t="shared" si="0"/>
        <v>5.3902635498707082E-3</v>
      </c>
      <c r="E10" s="19">
        <v>5.4063599999999998E-3</v>
      </c>
      <c r="F10" s="8">
        <f t="shared" si="4"/>
        <v>75371.29014056889</v>
      </c>
      <c r="G10" s="6">
        <f>F10*'[1]BE Projection'!$C$7</f>
        <v>295.04903023083398</v>
      </c>
      <c r="H10" s="6">
        <f t="shared" si="5"/>
        <v>75666.339170799722</v>
      </c>
      <c r="I10" s="7">
        <f t="shared" si="1"/>
        <v>407.86150998451592</v>
      </c>
      <c r="J10" s="14">
        <f t="shared" si="2"/>
        <v>409.07946943944478</v>
      </c>
      <c r="K10">
        <v>409.08010808134281</v>
      </c>
      <c r="L10" s="8">
        <f t="shared" ref="L10:L11" si="8">L9+M9-N9</f>
        <v>72885.390982448618</v>
      </c>
      <c r="M10" s="6">
        <f>L10*'[1]BE Projection'!$C$7</f>
        <v>285.31771032789595</v>
      </c>
      <c r="N10" s="7">
        <f t="shared" ref="N10:N11" si="9">(L10+M10)*C10</f>
        <v>407.86150998451598</v>
      </c>
      <c r="O10" s="16"/>
    </row>
    <row r="11" spans="1:15" x14ac:dyDescent="0.25">
      <c r="A11">
        <v>7</v>
      </c>
      <c r="B11" s="1">
        <f t="shared" si="3"/>
        <v>0.95626747547563795</v>
      </c>
      <c r="C11" s="1">
        <f>'[1]BE Projection'!$J23</f>
        <v>5.5741090563576901E-3</v>
      </c>
      <c r="D11" s="1">
        <f t="shared" si="0"/>
        <v>5.3602176330012187E-3</v>
      </c>
      <c r="E11" s="19">
        <v>5.4063599999999998E-3</v>
      </c>
      <c r="F11" s="8">
        <f t="shared" si="4"/>
        <v>75666.339170799722</v>
      </c>
      <c r="G11" s="6">
        <f>F11*'[1]BE Projection'!$C$7</f>
        <v>296.20403142661814</v>
      </c>
      <c r="H11" s="6">
        <f t="shared" si="5"/>
        <v>75962.543202226341</v>
      </c>
      <c r="I11" s="7">
        <f t="shared" si="1"/>
        <v>407.17576352019051</v>
      </c>
      <c r="J11" s="14">
        <f t="shared" si="2"/>
        <v>410.68085506678841</v>
      </c>
      <c r="K11">
        <v>410.68149619393608</v>
      </c>
      <c r="L11" s="8">
        <f t="shared" si="8"/>
        <v>72762.847182792</v>
      </c>
      <c r="M11" s="6">
        <f>L11*'[1]BE Projection'!$C$7</f>
        <v>284.8379994302577</v>
      </c>
      <c r="N11" s="7">
        <f t="shared" si="9"/>
        <v>407.17576352019051</v>
      </c>
      <c r="O11" s="16"/>
    </row>
    <row r="12" spans="1:15" x14ac:dyDescent="0.25">
      <c r="A12">
        <v>8</v>
      </c>
      <c r="B12" s="1">
        <f t="shared" ref="B12:B28" si="10">B11*(1-C11)</f>
        <v>0.95093713628028886</v>
      </c>
      <c r="C12" s="1">
        <f>'[1]BE Projection'!$J24</f>
        <v>5.5741090563576901E-3</v>
      </c>
      <c r="D12" s="1">
        <f t="shared" ref="D12:D26" si="11">B11*C12</f>
        <v>5.3303391953490589E-3</v>
      </c>
      <c r="E12" s="19">
        <v>5.4063599999999998E-3</v>
      </c>
      <c r="F12" s="8">
        <f t="shared" ref="F12:F28" si="12">H11</f>
        <v>75962.543202226341</v>
      </c>
      <c r="G12" s="6">
        <f>F12*'[1]BE Projection'!$C$7</f>
        <v>297.36355399893841</v>
      </c>
      <c r="H12" s="6">
        <f t="shared" ref="H12:H28" si="13">SUM(F12:G12)</f>
        <v>76259.906756225275</v>
      </c>
      <c r="I12" s="7">
        <f t="shared" ref="I12:I26" si="14">H12*D12</f>
        <v>406.49117001637211</v>
      </c>
      <c r="J12" s="14">
        <f t="shared" ref="J12:J26" si="15">H12*E12</f>
        <v>412.28850949058608</v>
      </c>
      <c r="K12">
        <v>412.2891531126545</v>
      </c>
      <c r="L12" s="8">
        <f t="shared" ref="L12:L28" si="16">L11+M11-N11</f>
        <v>72640.509418702059</v>
      </c>
      <c r="M12" s="6">
        <f>L12*'[1]BE Projection'!$C$7</f>
        <v>284.35909508102833</v>
      </c>
      <c r="N12" s="7">
        <f t="shared" ref="N12:N28" si="17">(L12+M12)*C12</f>
        <v>406.49117001637211</v>
      </c>
      <c r="O12" s="16"/>
    </row>
    <row r="13" spans="1:15" x14ac:dyDescent="0.25">
      <c r="A13">
        <v>9</v>
      </c>
      <c r="B13" s="1">
        <f t="shared" si="10"/>
        <v>0.94563650897692209</v>
      </c>
      <c r="C13" s="1">
        <f>'[1]BE Projection'!$J25</f>
        <v>5.5741090563576901E-3</v>
      </c>
      <c r="D13" s="1">
        <f t="shared" si="11"/>
        <v>5.3006273033668052E-3</v>
      </c>
      <c r="E13" s="19">
        <v>5.4063599999999998E-3</v>
      </c>
      <c r="F13" s="8">
        <f t="shared" si="12"/>
        <v>76259.906756225275</v>
      </c>
      <c r="G13" s="6">
        <f>F13*'[1]BE Projection'!$C$7</f>
        <v>298.52761564720987</v>
      </c>
      <c r="H13" s="6">
        <f t="shared" si="13"/>
        <v>76558.434371872485</v>
      </c>
      <c r="I13" s="7">
        <f t="shared" si="14"/>
        <v>405.80772753456296</v>
      </c>
      <c r="J13" s="14">
        <f t="shared" si="15"/>
        <v>413.90245725071651</v>
      </c>
      <c r="K13">
        <v>413.90310337741431</v>
      </c>
      <c r="L13" s="8">
        <f t="shared" si="16"/>
        <v>72518.377343766711</v>
      </c>
      <c r="M13" s="6">
        <f>L13*'[1]BE Projection'!$C$7</f>
        <v>283.88099592414051</v>
      </c>
      <c r="N13" s="7">
        <f t="shared" si="17"/>
        <v>405.8077275345629</v>
      </c>
      <c r="O13" s="16"/>
    </row>
    <row r="14" spans="1:15" x14ac:dyDescent="0.25">
      <c r="A14">
        <v>10</v>
      </c>
      <c r="B14" s="1">
        <f t="shared" si="10"/>
        <v>0.94036542794821132</v>
      </c>
      <c r="C14" s="1">
        <f>'[1]BE Projection'!$J26</f>
        <v>5.5741090563576901E-3</v>
      </c>
      <c r="D14" s="1">
        <f t="shared" si="11"/>
        <v>5.2710810287107312E-3</v>
      </c>
      <c r="E14" s="19">
        <v>5.4063599999999998E-3</v>
      </c>
      <c r="F14" s="8">
        <f t="shared" si="12"/>
        <v>76558.434371872485</v>
      </c>
      <c r="G14" s="6">
        <f>F14*'[1]BE Projection'!$C$7</f>
        <v>299.69623414013421</v>
      </c>
      <c r="H14" s="6">
        <f t="shared" si="13"/>
        <v>76858.130606012623</v>
      </c>
      <c r="I14" s="7">
        <f t="shared" si="14"/>
        <v>405.12543413952477</v>
      </c>
      <c r="J14" s="14">
        <f t="shared" si="15"/>
        <v>415.52272298312238</v>
      </c>
      <c r="K14">
        <v>415.52337162419559</v>
      </c>
      <c r="L14" s="8">
        <f t="shared" si="16"/>
        <v>72396.450612156288</v>
      </c>
      <c r="M14" s="6">
        <f>L14*'[1]BE Projection'!$C$7</f>
        <v>283.4037006058067</v>
      </c>
      <c r="N14" s="7">
        <f t="shared" si="17"/>
        <v>405.12543413952471</v>
      </c>
      <c r="O14" s="16"/>
    </row>
    <row r="15" spans="1:15" x14ac:dyDescent="0.25">
      <c r="A15">
        <v>11</v>
      </c>
      <c r="B15" s="1">
        <f t="shared" si="10"/>
        <v>0.93512372849999947</v>
      </c>
      <c r="C15" s="1">
        <f>'[1]BE Projection'!$J27</f>
        <v>5.5741090563576901E-3</v>
      </c>
      <c r="D15" s="1">
        <f t="shared" si="11"/>
        <v>5.2416994482118E-3</v>
      </c>
      <c r="E15" s="19">
        <v>5.4063599999999998E-3</v>
      </c>
      <c r="F15" s="8">
        <f t="shared" si="12"/>
        <v>76858.130606012623</v>
      </c>
      <c r="G15" s="6">
        <f>F15*'[1]BE Projection'!$C$7</f>
        <v>300.86942731597031</v>
      </c>
      <c r="H15" s="6">
        <f t="shared" si="13"/>
        <v>77159.000033328586</v>
      </c>
      <c r="I15" s="7">
        <f t="shared" si="14"/>
        <v>404.44428789927269</v>
      </c>
      <c r="J15" s="14">
        <f t="shared" si="15"/>
        <v>417.14933142018634</v>
      </c>
      <c r="K15">
        <v>417.14998258541942</v>
      </c>
      <c r="L15" s="8">
        <f t="shared" si="16"/>
        <v>72274.728878622569</v>
      </c>
      <c r="M15" s="6">
        <f>L15*'[1]BE Projection'!$C$7</f>
        <v>282.92720777451569</v>
      </c>
      <c r="N15" s="7">
        <f t="shared" si="17"/>
        <v>404.44428789927264</v>
      </c>
      <c r="O15" s="16"/>
    </row>
    <row r="16" spans="1:15" x14ac:dyDescent="0.25">
      <c r="A16">
        <v>12</v>
      </c>
      <c r="B16" s="1">
        <f t="shared" si="10"/>
        <v>0.92991124685615267</v>
      </c>
      <c r="C16" s="1">
        <f>'[1]BE Projection'!$J28</f>
        <v>6.3147397819968143E-3</v>
      </c>
      <c r="D16" s="1">
        <f t="shared" si="11"/>
        <v>5.9050630094481344E-3</v>
      </c>
      <c r="E16" s="19">
        <v>5.4063599999999998E-3</v>
      </c>
      <c r="F16" s="8">
        <f t="shared" si="12"/>
        <v>77159.000033328586</v>
      </c>
      <c r="G16" s="6">
        <f>F16*'[1]BE Projection'!$C$7</f>
        <v>302.04721308280705</v>
      </c>
      <c r="H16" s="6">
        <f t="shared" si="13"/>
        <v>77461.047246411399</v>
      </c>
      <c r="I16" s="7">
        <f t="shared" si="14"/>
        <v>457.41236476789823</v>
      </c>
      <c r="J16" s="14">
        <f t="shared" si="15"/>
        <v>418.7823073911087</v>
      </c>
      <c r="K16">
        <v>441.85665636909238</v>
      </c>
      <c r="L16" s="8">
        <f t="shared" si="16"/>
        <v>72153.21179849781</v>
      </c>
      <c r="M16" s="6">
        <f>L16*'[1]BE Projection'!$C$7</f>
        <v>282.45151608102833</v>
      </c>
      <c r="N16" s="7">
        <f t="shared" si="17"/>
        <v>457.41236476789823</v>
      </c>
      <c r="O16" s="16"/>
    </row>
    <row r="17" spans="1:15" x14ac:dyDescent="0.25">
      <c r="A17">
        <v>13</v>
      </c>
      <c r="B17" s="1">
        <f t="shared" si="10"/>
        <v>0.92403909931190387</v>
      </c>
      <c r="C17" s="1">
        <f>'[1]BE Projection'!$J29</f>
        <v>6.3147397819968143E-3</v>
      </c>
      <c r="D17" s="1">
        <f t="shared" si="11"/>
        <v>5.8721475442488069E-3</v>
      </c>
      <c r="E17" s="19">
        <v>5.4063599999999998E-3</v>
      </c>
      <c r="F17" s="8">
        <f t="shared" si="12"/>
        <v>77461.047246411399</v>
      </c>
      <c r="G17" s="6">
        <f>F17*'[1]BE Projection'!$C$7</f>
        <v>303.22960941883633</v>
      </c>
      <c r="H17" s="6">
        <f t="shared" si="13"/>
        <v>77764.276855830234</v>
      </c>
      <c r="I17" s="7">
        <f t="shared" si="14"/>
        <v>456.64330736924785</v>
      </c>
      <c r="J17" s="14">
        <f t="shared" si="15"/>
        <v>420.42167582228632</v>
      </c>
      <c r="K17">
        <v>443.58635180771557</v>
      </c>
      <c r="L17" s="8">
        <f t="shared" si="16"/>
        <v>71978.250949810943</v>
      </c>
      <c r="M17" s="6">
        <f>L17*'[1]BE Projection'!$C$7</f>
        <v>281.76661300139222</v>
      </c>
      <c r="N17" s="7">
        <f t="shared" si="17"/>
        <v>456.30320755167958</v>
      </c>
      <c r="O17" s="16"/>
    </row>
    <row r="18" spans="1:15" x14ac:dyDescent="0.25">
      <c r="A18">
        <v>14</v>
      </c>
      <c r="B18" s="1">
        <f t="shared" si="10"/>
        <v>0.91820403285135843</v>
      </c>
      <c r="C18" s="1">
        <f>'[1]BE Projection'!$J30</f>
        <v>6.3147397819968143E-3</v>
      </c>
      <c r="D18" s="1">
        <f t="shared" si="11"/>
        <v>5.8350664605453847E-3</v>
      </c>
      <c r="E18" s="19">
        <v>5.4063599999999998E-3</v>
      </c>
      <c r="F18" s="8">
        <f t="shared" si="12"/>
        <v>77764.276855830234</v>
      </c>
      <c r="G18" s="6">
        <f>F18*'[1]BE Projection'!$C$7</f>
        <v>304.4166343726277</v>
      </c>
      <c r="H18" s="6">
        <f t="shared" si="13"/>
        <v>78068.693490202859</v>
      </c>
      <c r="I18" s="7">
        <f t="shared" si="14"/>
        <v>455.53601500328051</v>
      </c>
      <c r="J18" s="14">
        <f t="shared" si="15"/>
        <v>422.06746173769312</v>
      </c>
      <c r="K18">
        <v>445.32281832530111</v>
      </c>
      <c r="L18" s="8">
        <f t="shared" si="16"/>
        <v>71803.714355260658</v>
      </c>
      <c r="M18" s="6">
        <f>L18*'[1]BE Projection'!$C$7</f>
        <v>281.08337071025176</v>
      </c>
      <c r="N18" s="7">
        <f t="shared" si="17"/>
        <v>455.19673987738202</v>
      </c>
      <c r="O18" s="16"/>
    </row>
    <row r="19" spans="1:15" x14ac:dyDescent="0.25">
      <c r="A19">
        <v>15</v>
      </c>
      <c r="B19" s="1">
        <f t="shared" si="10"/>
        <v>0.91240581331712201</v>
      </c>
      <c r="C19" s="1">
        <f>'[1]BE Projection'!$J31</f>
        <v>6.3147397819968143E-3</v>
      </c>
      <c r="D19" s="1">
        <f t="shared" si="11"/>
        <v>5.7982195342363829E-3</v>
      </c>
      <c r="E19" s="19">
        <v>5.4063599999999998E-3</v>
      </c>
      <c r="F19" s="8">
        <f t="shared" si="12"/>
        <v>78068.693490202859</v>
      </c>
      <c r="G19" s="6">
        <f>F19*'[1]BE Projection'!$C$7</f>
        <v>305.60830606340363</v>
      </c>
      <c r="H19" s="6">
        <f t="shared" si="13"/>
        <v>78374.301796266256</v>
      </c>
      <c r="I19" s="7">
        <f t="shared" si="14"/>
        <v>454.43140765724866</v>
      </c>
      <c r="J19" s="14">
        <f t="shared" si="15"/>
        <v>423.71969025926199</v>
      </c>
      <c r="K19">
        <v>447.06608242796648</v>
      </c>
      <c r="L19" s="8">
        <f t="shared" si="16"/>
        <v>71629.60098609353</v>
      </c>
      <c r="M19" s="6">
        <f>L19*'[1]BE Projection'!$C$7</f>
        <v>280.40178518044092</v>
      </c>
      <c r="N19" s="7">
        <f t="shared" si="17"/>
        <v>454.09295522326488</v>
      </c>
      <c r="O19" s="16"/>
    </row>
    <row r="20" spans="1:15" x14ac:dyDescent="0.25">
      <c r="A20">
        <v>16</v>
      </c>
      <c r="B20" s="1">
        <f t="shared" si="10"/>
        <v>0.90664420803044321</v>
      </c>
      <c r="C20" s="1">
        <f>'[1]BE Projection'!$J32</f>
        <v>6.3147397819968143E-3</v>
      </c>
      <c r="D20" s="1">
        <f t="shared" si="11"/>
        <v>5.7616052866787887E-3</v>
      </c>
      <c r="E20" s="19">
        <v>5.4063599999999998E-3</v>
      </c>
      <c r="F20" s="8">
        <f t="shared" si="12"/>
        <v>78374.301796266256</v>
      </c>
      <c r="G20" s="6">
        <f>F20*'[1]BE Projection'!$C$7</f>
        <v>306.80464268131647</v>
      </c>
      <c r="H20" s="6">
        <f t="shared" si="13"/>
        <v>78681.10643894758</v>
      </c>
      <c r="I20" s="7">
        <f t="shared" si="14"/>
        <v>453.32947882037683</v>
      </c>
      <c r="J20" s="14">
        <f t="shared" si="15"/>
        <v>425.37838660726862</v>
      </c>
      <c r="K20">
        <v>448.81617072559033</v>
      </c>
      <c r="L20" s="8">
        <f t="shared" si="16"/>
        <v>71455.909816050698</v>
      </c>
      <c r="M20" s="6">
        <f>L20*'[1]BE Projection'!$C$7</f>
        <v>279.72185239455894</v>
      </c>
      <c r="N20" s="7">
        <f t="shared" si="17"/>
        <v>452.99184708340181</v>
      </c>
      <c r="O20" s="16"/>
    </row>
    <row r="21" spans="1:15" x14ac:dyDescent="0.25">
      <c r="A21">
        <v>17</v>
      </c>
      <c r="B21" s="1">
        <f t="shared" si="10"/>
        <v>0.90091898578187635</v>
      </c>
      <c r="C21" s="1">
        <f>'[1]BE Projection'!$J33</f>
        <v>6.3147397819968143E-3</v>
      </c>
      <c r="D21" s="1">
        <f t="shared" si="11"/>
        <v>5.7252222485668349E-3</v>
      </c>
      <c r="E21" s="19">
        <v>5.4063599999999998E-3</v>
      </c>
      <c r="F21" s="8">
        <f t="shared" si="12"/>
        <v>78681.10643894758</v>
      </c>
      <c r="G21" s="6">
        <f>F21*'[1]BE Projection'!$C$7</f>
        <v>308.00566248772571</v>
      </c>
      <c r="H21" s="6">
        <f t="shared" si="13"/>
        <v>78989.112101435312</v>
      </c>
      <c r="I21" s="7">
        <f t="shared" si="14"/>
        <v>452.23022199767729</v>
      </c>
      <c r="J21" s="14">
        <f t="shared" si="15"/>
        <v>427.04357610071582</v>
      </c>
      <c r="K21">
        <v>450.57310993221819</v>
      </c>
      <c r="L21" s="8">
        <f t="shared" si="16"/>
        <v>71282.639821361867</v>
      </c>
      <c r="M21" s="6">
        <f>L21*'[1]BE Projection'!$C$7</f>
        <v>279.04356834494678</v>
      </c>
      <c r="N21" s="7">
        <f t="shared" si="17"/>
        <v>451.89340896764224</v>
      </c>
      <c r="O21" s="16"/>
    </row>
    <row r="22" spans="1:15" x14ac:dyDescent="0.25">
      <c r="A22">
        <v>18</v>
      </c>
      <c r="B22" s="1">
        <f t="shared" si="10"/>
        <v>0.89522991682200326</v>
      </c>
      <c r="C22" s="1">
        <f>'[1]BE Projection'!$J34</f>
        <v>6.3147397819968143E-3</v>
      </c>
      <c r="D22" s="1">
        <f t="shared" si="11"/>
        <v>5.6890689598730372E-3</v>
      </c>
      <c r="E22" s="19">
        <v>5.4063599999999998E-3</v>
      </c>
      <c r="F22" s="8">
        <f t="shared" si="12"/>
        <v>78989.112101435312</v>
      </c>
      <c r="G22" s="6">
        <f>F22*'[1]BE Projection'!$C$7</f>
        <v>309.21138381547695</v>
      </c>
      <c r="H22" s="6">
        <f t="shared" si="13"/>
        <v>79298.323485250789</v>
      </c>
      <c r="I22" s="7">
        <f t="shared" si="14"/>
        <v>451.13363070991136</v>
      </c>
      <c r="J22" s="14">
        <f t="shared" si="15"/>
        <v>428.71528415772042</v>
      </c>
      <c r="K22">
        <v>452.33692686647072</v>
      </c>
      <c r="L22" s="8">
        <f t="shared" si="16"/>
        <v>71109.789980739166</v>
      </c>
      <c r="M22" s="6">
        <f>L22*'[1]BE Projection'!$C$7</f>
        <v>278.36692903366298</v>
      </c>
      <c r="N22" s="7">
        <f t="shared" si="17"/>
        <v>450.7976344015733</v>
      </c>
      <c r="O22" s="16"/>
    </row>
    <row r="23" spans="1:15" x14ac:dyDescent="0.25">
      <c r="A23">
        <v>19</v>
      </c>
      <c r="B23" s="1">
        <f t="shared" si="10"/>
        <v>0.8895767728522137</v>
      </c>
      <c r="C23" s="1">
        <f>'[1]BE Projection'!$J35</f>
        <v>6.3147397819968143E-3</v>
      </c>
      <c r="D23" s="1">
        <f t="shared" si="11"/>
        <v>5.653143969789603E-3</v>
      </c>
      <c r="E23" s="19">
        <v>5.4063599999999998E-3</v>
      </c>
      <c r="F23" s="8">
        <f t="shared" si="12"/>
        <v>79298.323485250789</v>
      </c>
      <c r="G23" s="6">
        <f>F23*'[1]BE Projection'!$C$7</f>
        <v>310.42182506918164</v>
      </c>
      <c r="H23" s="6">
        <f t="shared" si="13"/>
        <v>79608.745310319966</v>
      </c>
      <c r="I23" s="7">
        <f t="shared" si="14"/>
        <v>450.03969849355167</v>
      </c>
      <c r="J23" s="14">
        <f t="shared" si="15"/>
        <v>430.39353629590141</v>
      </c>
      <c r="K23">
        <v>454.1076484519528</v>
      </c>
      <c r="L23" s="8">
        <f t="shared" si="16"/>
        <v>70937.359275371258</v>
      </c>
      <c r="M23" s="6">
        <f>L23*'[1]BE Projection'!$C$7</f>
        <v>277.69193047246102</v>
      </c>
      <c r="N23" s="7">
        <f t="shared" si="17"/>
        <v>449.70451692648152</v>
      </c>
      <c r="O23" s="16"/>
    </row>
    <row r="24" spans="1:15" x14ac:dyDescent="0.25">
      <c r="A24">
        <v>20</v>
      </c>
      <c r="B24" s="1">
        <f t="shared" si="10"/>
        <v>0.88395932701554347</v>
      </c>
      <c r="C24" s="1">
        <f>'[1]BE Projection'!$J36</f>
        <v>6.3147397819968143E-3</v>
      </c>
      <c r="D24" s="1">
        <f t="shared" si="11"/>
        <v>5.6174458366702179E-3</v>
      </c>
      <c r="E24" s="19">
        <v>5.4063599999999998E-3</v>
      </c>
      <c r="F24" s="8">
        <f t="shared" si="12"/>
        <v>79608.745310319966</v>
      </c>
      <c r="G24" s="6">
        <f>F24*'[1]BE Projection'!$C$7</f>
        <v>311.63700472549812</v>
      </c>
      <c r="H24" s="6">
        <f t="shared" si="13"/>
        <v>79920.38231504547</v>
      </c>
      <c r="I24" s="7">
        <f t="shared" si="14"/>
        <v>448.94841890074429</v>
      </c>
      <c r="J24" s="14">
        <f t="shared" si="15"/>
        <v>432.07835813276921</v>
      </c>
      <c r="K24">
        <v>455.8853017176649</v>
      </c>
      <c r="L24" s="8">
        <f t="shared" si="16"/>
        <v>70765.346688917241</v>
      </c>
      <c r="M24" s="6">
        <f>L24*'[1]BE Projection'!$C$7</f>
        <v>277.01856868276496</v>
      </c>
      <c r="N24" s="7">
        <f t="shared" si="17"/>
        <v>448.61405009931508</v>
      </c>
      <c r="O24" s="16"/>
    </row>
    <row r="25" spans="1:15" x14ac:dyDescent="0.25">
      <c r="A25">
        <v>21</v>
      </c>
      <c r="B25" s="1">
        <f t="shared" si="10"/>
        <v>0.87837735388757132</v>
      </c>
      <c r="C25" s="1">
        <f>'[1]BE Projection'!$J37</f>
        <v>6.3147397819968143E-3</v>
      </c>
      <c r="D25" s="1">
        <f t="shared" si="11"/>
        <v>5.5819731279721837E-3</v>
      </c>
      <c r="E25" s="19">
        <v>5.4063599999999998E-3</v>
      </c>
      <c r="F25" s="8">
        <f t="shared" si="12"/>
        <v>79920.38231504547</v>
      </c>
      <c r="G25" s="6">
        <f>F25*'[1]BE Projection'!$C$7</f>
        <v>312.85694133341366</v>
      </c>
      <c r="H25" s="6">
        <f t="shared" si="13"/>
        <v>80233.239256378889</v>
      </c>
      <c r="I25" s="7">
        <f t="shared" si="14"/>
        <v>447.85978549926989</v>
      </c>
      <c r="J25" s="14">
        <f t="shared" si="15"/>
        <v>433.76977538611658</v>
      </c>
      <c r="K25">
        <v>457.66991379841562</v>
      </c>
      <c r="L25" s="8">
        <f t="shared" si="16"/>
        <v>70593.751207500682</v>
      </c>
      <c r="M25" s="6">
        <f>L25*'[1]BE Projection'!$C$7</f>
        <v>276.34683969564634</v>
      </c>
      <c r="N25" s="7">
        <f t="shared" si="17"/>
        <v>447.52622749264538</v>
      </c>
      <c r="O25" s="16"/>
    </row>
    <row r="26" spans="1:15" x14ac:dyDescent="0.25">
      <c r="A26">
        <v>22</v>
      </c>
      <c r="B26" s="1">
        <f t="shared" si="10"/>
        <v>0.87283062946737233</v>
      </c>
      <c r="C26" s="1">
        <f>'[1]BE Projection'!$J38</f>
        <v>6.3147397819968143E-3</v>
      </c>
      <c r="D26" s="1">
        <f t="shared" si="11"/>
        <v>5.546724420198941E-3</v>
      </c>
      <c r="E26" s="19">
        <v>5.4063599999999998E-3</v>
      </c>
      <c r="F26" s="8">
        <f t="shared" si="12"/>
        <v>80233.239256378889</v>
      </c>
      <c r="G26" s="6">
        <f>F26*'[1]BE Projection'!$C$7</f>
        <v>314.08165351452732</v>
      </c>
      <c r="H26" s="6">
        <f t="shared" si="13"/>
        <v>80547.320909893417</v>
      </c>
      <c r="I26" s="7">
        <f t="shared" si="14"/>
        <v>446.77379187250659</v>
      </c>
      <c r="J26" s="14">
        <f t="shared" si="15"/>
        <v>435.46781387441138</v>
      </c>
      <c r="K26">
        <v>459.46151193523502</v>
      </c>
      <c r="L26" s="8">
        <f t="shared" si="16"/>
        <v>70422.571819703677</v>
      </c>
      <c r="M26" s="6">
        <f>L26*'[1]BE Projection'!$C$7</f>
        <v>275.67673955180084</v>
      </c>
      <c r="N26" s="7">
        <f t="shared" si="17"/>
        <v>446.44104269462952</v>
      </c>
      <c r="O26" s="16"/>
    </row>
    <row r="27" spans="1:15" x14ac:dyDescent="0.25">
      <c r="A27">
        <v>23</v>
      </c>
      <c r="B27" s="1">
        <f t="shared" si="10"/>
        <v>0.86731893116852943</v>
      </c>
      <c r="C27" s="1">
        <f>'[1]BE Projection'!$J39</f>
        <v>6.3147397819968143E-3</v>
      </c>
      <c r="D27" s="1">
        <f>B26*C27</f>
        <v>5.5116982988429371E-3</v>
      </c>
      <c r="E27" s="19">
        <v>5.4063599999999998E-3</v>
      </c>
      <c r="F27" s="8">
        <f t="shared" si="12"/>
        <v>80547.320909893417</v>
      </c>
      <c r="G27" s="6">
        <f>F27*'[1]BE Projection'!$C$7</f>
        <v>315.31115996333466</v>
      </c>
      <c r="H27" s="6">
        <f t="shared" si="13"/>
        <v>80862.632069856758</v>
      </c>
      <c r="I27" s="7">
        <f>H27*D27</f>
        <v>445.6904316193918</v>
      </c>
      <c r="J27" s="14">
        <f>H27*E27</f>
        <v>437.17249951719077</v>
      </c>
      <c r="K27">
        <v>461.26012347579172</v>
      </c>
      <c r="L27" s="8">
        <f t="shared" si="16"/>
        <v>70251.807516560846</v>
      </c>
      <c r="M27" s="6">
        <f>L27*'[1]BE Projection'!$C$7</f>
        <v>275.00826430152495</v>
      </c>
      <c r="N27" s="7">
        <f t="shared" si="17"/>
        <v>445.35848930897231</v>
      </c>
      <c r="O27" s="16"/>
    </row>
    <row r="28" spans="1:15" x14ac:dyDescent="0.25">
      <c r="A28">
        <v>24</v>
      </c>
      <c r="B28" s="1">
        <f t="shared" si="10"/>
        <v>0.86184203781020052</v>
      </c>
      <c r="C28" s="1">
        <f>'[1]BE Projection'!$J40</f>
        <v>7.16147570550274E-3</v>
      </c>
      <c r="D28" s="1">
        <f>B27*C28</f>
        <v>6.2112834544860267E-3</v>
      </c>
      <c r="E28" s="19">
        <v>5.4063599999999998E-3</v>
      </c>
      <c r="F28" s="8">
        <f t="shared" si="12"/>
        <v>80862.632069856758</v>
      </c>
      <c r="G28" s="6">
        <f>F28*'[1]BE Projection'!$C$7</f>
        <v>316.54547944751278</v>
      </c>
      <c r="H28" s="6">
        <f t="shared" si="13"/>
        <v>81179.177549304266</v>
      </c>
      <c r="I28" s="7">
        <f>H28*D28</f>
        <v>504.2268823607771</v>
      </c>
      <c r="J28" s="14">
        <f>H28*E28</f>
        <v>438.88385833545658</v>
      </c>
      <c r="K28">
        <v>484.47290872136278</v>
      </c>
      <c r="L28" s="8">
        <f t="shared" si="16"/>
        <v>70081.457291553394</v>
      </c>
      <c r="M28" s="6">
        <f>L28*'[1]BE Projection'!$C$7</f>
        <v>274.34141000469236</v>
      </c>
      <c r="N28" s="7">
        <f t="shared" si="17"/>
        <v>503.85134314244948</v>
      </c>
      <c r="O28" s="16"/>
    </row>
    <row r="29" spans="1:15" x14ac:dyDescent="0.25">
      <c r="A29">
        <v>25</v>
      </c>
      <c r="B29" s="1">
        <f t="shared" ref="B29:B41" si="18">B28*(1-C28)</f>
        <v>0.85566997699444181</v>
      </c>
      <c r="C29" s="1">
        <f>'[1]BE Projection'!$J41</f>
        <v>7.16147570550274E-3</v>
      </c>
      <c r="D29" s="1">
        <f t="shared" ref="D29:D41" si="19">B28*C29</f>
        <v>6.1720608157587254E-3</v>
      </c>
      <c r="E29" s="19">
        <v>5.4063599999999998E-3</v>
      </c>
      <c r="F29" s="8">
        <f t="shared" ref="F29:F41" si="20">H28</f>
        <v>81179.177549304266</v>
      </c>
      <c r="G29" s="6">
        <f>F29*'[1]BE Projection'!$C$7</f>
        <v>317.78463080820666</v>
      </c>
      <c r="H29" s="6">
        <f t="shared" ref="H29:H41" si="21">SUM(F29:G29)</f>
        <v>81496.962180112474</v>
      </c>
      <c r="I29" s="7">
        <f t="shared" ref="I29:I41" si="22">H29*D29</f>
        <v>503.00420687524297</v>
      </c>
      <c r="J29" s="14">
        <f t="shared" ref="J29:J41" si="23">H29*E29</f>
        <v>440.60191645207289</v>
      </c>
      <c r="K29">
        <v>486.36943006662858</v>
      </c>
      <c r="L29" s="8">
        <f t="shared" ref="L29:L41" si="24">L28+M28-N28</f>
        <v>69851.947358415637</v>
      </c>
      <c r="M29" s="6">
        <f>L29*'[1]BE Projection'!$C$7</f>
        <v>273.44296866085512</v>
      </c>
      <c r="N29" s="7">
        <f t="shared" ref="N29:N41" si="25">(L29+M29)*C29</f>
        <v>502.20127916625512</v>
      </c>
      <c r="O29" s="16"/>
    </row>
    <row r="30" spans="1:15" x14ac:dyDescent="0.25">
      <c r="A30">
        <v>26</v>
      </c>
      <c r="B30" s="1">
        <f t="shared" si="18"/>
        <v>0.84954211724226802</v>
      </c>
      <c r="C30" s="1">
        <f>'[1]BE Projection'!$J42</f>
        <v>7.16147570550274E-3</v>
      </c>
      <c r="D30" s="1">
        <f t="shared" si="19"/>
        <v>6.1278597521737836E-3</v>
      </c>
      <c r="E30" s="19">
        <v>5.4063599999999998E-3</v>
      </c>
      <c r="F30" s="8">
        <f t="shared" si="20"/>
        <v>81496.962180112474</v>
      </c>
      <c r="G30" s="6">
        <f>F30*'[1]BE Projection'!$C$7</f>
        <v>319.02863296031734</v>
      </c>
      <c r="H30" s="6">
        <f t="shared" si="21"/>
        <v>81815.990813072785</v>
      </c>
      <c r="I30" s="7">
        <f t="shared" si="22"/>
        <v>501.35691718764878</v>
      </c>
      <c r="J30" s="14">
        <f t="shared" si="23"/>
        <v>442.32670009216417</v>
      </c>
      <c r="K30">
        <v>488.27337554882422</v>
      </c>
      <c r="L30" s="8">
        <f t="shared" si="24"/>
        <v>69623.189047910229</v>
      </c>
      <c r="M30" s="6">
        <f>L30*'[1]BE Projection'!$C$7</f>
        <v>272.54746962473695</v>
      </c>
      <c r="N30" s="7">
        <f t="shared" si="25"/>
        <v>500.55661898854737</v>
      </c>
      <c r="O30" s="16"/>
    </row>
    <row r="31" spans="1:15" x14ac:dyDescent="0.25">
      <c r="A31">
        <v>27</v>
      </c>
      <c r="B31" s="1">
        <f t="shared" si="18"/>
        <v>0.84345814200883618</v>
      </c>
      <c r="C31" s="1">
        <f>'[1]BE Projection'!$J43</f>
        <v>7.16147570550274E-3</v>
      </c>
      <c r="D31" s="1">
        <f t="shared" si="19"/>
        <v>6.0839752334318625E-3</v>
      </c>
      <c r="E31" s="19">
        <v>5.4063599999999998E-3</v>
      </c>
      <c r="F31" s="8">
        <f t="shared" si="20"/>
        <v>81815.990813072785</v>
      </c>
      <c r="G31" s="6">
        <f>F31*'[1]BE Projection'!$C$7</f>
        <v>320.27750489278998</v>
      </c>
      <c r="H31" s="6">
        <f t="shared" si="21"/>
        <v>82136.268317965572</v>
      </c>
      <c r="I31" s="7">
        <f t="shared" si="22"/>
        <v>499.71502221301671</v>
      </c>
      <c r="J31" s="14">
        <f t="shared" si="23"/>
        <v>444.05823558351636</v>
      </c>
      <c r="K31">
        <v>490.18477423053241</v>
      </c>
      <c r="L31" s="8">
        <f t="shared" si="24"/>
        <v>69395.179898546427</v>
      </c>
      <c r="M31" s="6">
        <f>L31*'[1]BE Projection'!$C$7</f>
        <v>271.65490326056721</v>
      </c>
      <c r="N31" s="7">
        <f t="shared" si="25"/>
        <v>498.91734491241357</v>
      </c>
      <c r="O31" s="16"/>
    </row>
    <row r="32" spans="1:15" x14ac:dyDescent="0.25">
      <c r="A32">
        <v>28</v>
      </c>
      <c r="B32" s="1">
        <f t="shared" si="18"/>
        <v>0.83741773701623146</v>
      </c>
      <c r="C32" s="1">
        <f>'[1]BE Projection'!$J44</f>
        <v>7.16147570550274E-3</v>
      </c>
      <c r="D32" s="1">
        <f t="shared" si="19"/>
        <v>6.0404049926047606E-3</v>
      </c>
      <c r="E32" s="19">
        <v>5.4063599999999998E-3</v>
      </c>
      <c r="F32" s="8">
        <f t="shared" si="20"/>
        <v>82136.268317965572</v>
      </c>
      <c r="G32" s="6">
        <f>F32*'[1]BE Projection'!$C$7</f>
        <v>321.53126566890415</v>
      </c>
      <c r="H32" s="6">
        <f t="shared" si="21"/>
        <v>82457.799583634478</v>
      </c>
      <c r="I32" s="7">
        <f t="shared" si="22"/>
        <v>498.07850428418845</v>
      </c>
      <c r="J32" s="14">
        <f t="shared" si="23"/>
        <v>445.79654935697806</v>
      </c>
      <c r="K32">
        <v>492.10365528810507</v>
      </c>
      <c r="L32" s="8">
        <f t="shared" si="24"/>
        <v>69167.917456894589</v>
      </c>
      <c r="M32" s="6">
        <f>L32*'[1]BE Projection'!$C$7</f>
        <v>270.76525996413153</v>
      </c>
      <c r="N32" s="7">
        <f t="shared" si="25"/>
        <v>497.28343929889672</v>
      </c>
      <c r="O32" s="16"/>
    </row>
    <row r="33" spans="1:15" x14ac:dyDescent="0.25">
      <c r="A33">
        <v>29</v>
      </c>
      <c r="B33" s="1">
        <f t="shared" si="18"/>
        <v>0.83142059023723258</v>
      </c>
      <c r="C33" s="1">
        <f>'[1]BE Projection'!$J45</f>
        <v>7.16147570550274E-3</v>
      </c>
      <c r="D33" s="1">
        <f t="shared" si="19"/>
        <v>5.9971467789988239E-3</v>
      </c>
      <c r="E33" s="19">
        <v>5.4063599999999998E-3</v>
      </c>
      <c r="F33" s="8">
        <f t="shared" si="20"/>
        <v>82457.799583634478</v>
      </c>
      <c r="G33" s="6">
        <f>F33*'[1]BE Projection'!$C$7</f>
        <v>322.78993442656474</v>
      </c>
      <c r="H33" s="6">
        <f t="shared" si="21"/>
        <v>82780.589518061039</v>
      </c>
      <c r="I33" s="7">
        <f t="shared" si="22"/>
        <v>496.44734579186354</v>
      </c>
      <c r="J33" s="14">
        <f t="shared" si="23"/>
        <v>447.54166794686444</v>
      </c>
      <c r="K33">
        <v>494.03004801210773</v>
      </c>
      <c r="L33" s="8">
        <f t="shared" si="24"/>
        <v>68941.399277559816</v>
      </c>
      <c r="M33" s="6">
        <f>L33*'[1]BE Projection'!$C$7</f>
        <v>269.87853016266826</v>
      </c>
      <c r="N33" s="7">
        <f t="shared" si="25"/>
        <v>495.65488456680549</v>
      </c>
      <c r="O33" s="16"/>
    </row>
    <row r="34" spans="1:15" x14ac:dyDescent="0.25">
      <c r="A34">
        <v>30</v>
      </c>
      <c r="B34" s="1">
        <f t="shared" si="18"/>
        <v>0.82546639187919391</v>
      </c>
      <c r="C34" s="1">
        <f>'[1]BE Projection'!$J46</f>
        <v>7.16147570550274E-3</v>
      </c>
      <c r="D34" s="1">
        <f t="shared" si="19"/>
        <v>5.9541983580386898E-3</v>
      </c>
      <c r="E34" s="19">
        <v>5.4063599999999998E-3</v>
      </c>
      <c r="F34" s="8">
        <f t="shared" si="20"/>
        <v>82780.589518061039</v>
      </c>
      <c r="G34" s="6">
        <f>F34*'[1]BE Projection'!$C$7</f>
        <v>324.05353037859379</v>
      </c>
      <c r="H34" s="6">
        <f t="shared" si="21"/>
        <v>83104.643048439626</v>
      </c>
      <c r="I34" s="7">
        <f t="shared" si="22"/>
        <v>494.82152918441062</v>
      </c>
      <c r="J34" s="14">
        <f t="shared" si="23"/>
        <v>449.29361799136205</v>
      </c>
      <c r="K34">
        <v>495.96398180776708</v>
      </c>
      <c r="L34" s="8">
        <f t="shared" si="24"/>
        <v>68715.622923155679</v>
      </c>
      <c r="M34" s="6">
        <f>L34*'[1]BE Projection'!$C$7</f>
        <v>268.99470431476573</v>
      </c>
      <c r="N34" s="7">
        <f t="shared" si="25"/>
        <v>494.03166319252568</v>
      </c>
      <c r="O34" s="16"/>
    </row>
    <row r="35" spans="1:15" x14ac:dyDescent="0.25">
      <c r="A35">
        <v>31</v>
      </c>
      <c r="B35" s="1">
        <f t="shared" si="18"/>
        <v>0.81955483436804211</v>
      </c>
      <c r="C35" s="1">
        <f>'[1]BE Projection'!$J47</f>
        <v>7.16147570550274E-3</v>
      </c>
      <c r="D35" s="1">
        <f t="shared" si="19"/>
        <v>5.9115575111518513E-3</v>
      </c>
      <c r="E35" s="19">
        <v>5.4063599999999998E-3</v>
      </c>
      <c r="F35" s="8">
        <f t="shared" si="20"/>
        <v>83104.643048439626</v>
      </c>
      <c r="G35" s="6">
        <f>F35*'[1]BE Projection'!$C$7</f>
        <v>325.32207281302425</v>
      </c>
      <c r="H35" s="6">
        <f t="shared" si="21"/>
        <v>83429.965121252651</v>
      </c>
      <c r="I35" s="7">
        <f t="shared" si="22"/>
        <v>493.20103696767808</v>
      </c>
      <c r="J35" s="14">
        <f t="shared" si="23"/>
        <v>451.05242623293549</v>
      </c>
      <c r="K35">
        <v>497.90548619542011</v>
      </c>
      <c r="L35" s="8">
        <f t="shared" si="24"/>
        <v>68490.585964277925</v>
      </c>
      <c r="M35" s="6">
        <f>L35*'[1]BE Projection'!$C$7</f>
        <v>268.11377291025951</v>
      </c>
      <c r="N35" s="7">
        <f t="shared" si="25"/>
        <v>492.41375770983086</v>
      </c>
      <c r="O35" s="16"/>
    </row>
    <row r="36" spans="1:15" x14ac:dyDescent="0.25">
      <c r="A36">
        <v>32</v>
      </c>
      <c r="B36" s="1">
        <f t="shared" si="18"/>
        <v>0.81368561233238801</v>
      </c>
      <c r="C36" s="1">
        <f>'[1]BE Projection'!$J48</f>
        <v>7.16147570550274E-3</v>
      </c>
      <c r="D36" s="1">
        <f t="shared" si="19"/>
        <v>5.8692220356540556E-3</v>
      </c>
      <c r="E36" s="19">
        <v>5.4063599999999998E-3</v>
      </c>
      <c r="F36" s="8">
        <f t="shared" si="20"/>
        <v>83429.965121252651</v>
      </c>
      <c r="G36" s="6">
        <f>F36*'[1]BE Projection'!$C$7</f>
        <v>326.595581093394</v>
      </c>
      <c r="H36" s="6">
        <f t="shared" si="21"/>
        <v>83756.560702346047</v>
      </c>
      <c r="I36" s="7">
        <f t="shared" si="22"/>
        <v>491.58585170480592</v>
      </c>
      <c r="J36" s="14">
        <f t="shared" si="23"/>
        <v>452.81811951873556</v>
      </c>
      <c r="K36">
        <v>499.85459081096349</v>
      </c>
      <c r="L36" s="8">
        <f t="shared" si="24"/>
        <v>68266.285979478358</v>
      </c>
      <c r="M36" s="6">
        <f>L36*'[1]BE Projection'!$C$7</f>
        <v>267.23572647012992</v>
      </c>
      <c r="N36" s="7">
        <f t="shared" si="25"/>
        <v>490.80115070969475</v>
      </c>
      <c r="O36" s="16"/>
    </row>
    <row r="37" spans="1:15" x14ac:dyDescent="0.25">
      <c r="A37">
        <v>33</v>
      </c>
      <c r="B37" s="1">
        <f t="shared" si="18"/>
        <v>0.80785842258775253</v>
      </c>
      <c r="C37" s="1">
        <f>'[1]BE Projection'!$J49</f>
        <v>7.16147570550274E-3</v>
      </c>
      <c r="D37" s="1">
        <f t="shared" si="19"/>
        <v>5.8271897446355173E-3</v>
      </c>
      <c r="E37" s="19">
        <v>5.4063599999999998E-3</v>
      </c>
      <c r="F37" s="8">
        <f t="shared" si="20"/>
        <v>83756.560702346047</v>
      </c>
      <c r="G37" s="6">
        <f>F37*'[1]BE Projection'!$C$7</f>
        <v>327.8740746590417</v>
      </c>
      <c r="H37" s="6">
        <f t="shared" si="21"/>
        <v>84084.434777005095</v>
      </c>
      <c r="I37" s="7">
        <f t="shared" si="22"/>
        <v>489.97595601603814</v>
      </c>
      <c r="J37" s="14">
        <f t="shared" si="23"/>
        <v>454.59072480100923</v>
      </c>
      <c r="K37">
        <v>501.81132540630779</v>
      </c>
      <c r="L37" s="8">
        <f t="shared" si="24"/>
        <v>68042.72055523879</v>
      </c>
      <c r="M37" s="6">
        <f>L37*'[1]BE Projection'!$C$7</f>
        <v>266.36055554640006</v>
      </c>
      <c r="N37" s="7">
        <f t="shared" si="25"/>
        <v>489.1938248401043</v>
      </c>
      <c r="O37" s="16"/>
    </row>
    <row r="38" spans="1:15" x14ac:dyDescent="0.25">
      <c r="A38">
        <v>34</v>
      </c>
      <c r="B38" s="1">
        <f t="shared" si="18"/>
        <v>0.80207296412090456</v>
      </c>
      <c r="C38" s="1">
        <f>'[1]BE Projection'!$J50</f>
        <v>7.16147570550274E-3</v>
      </c>
      <c r="D38" s="1">
        <f t="shared" si="19"/>
        <v>5.7854584668479555E-3</v>
      </c>
      <c r="E38" s="19">
        <v>5.4063599999999998E-3</v>
      </c>
      <c r="F38" s="8">
        <f t="shared" si="20"/>
        <v>84084.434777005095</v>
      </c>
      <c r="G38" s="6">
        <f>F38*'[1]BE Projection'!$C$7</f>
        <v>329.15757302540328</v>
      </c>
      <c r="H38" s="6">
        <f t="shared" si="21"/>
        <v>84413.592350030493</v>
      </c>
      <c r="I38" s="7">
        <f t="shared" si="22"/>
        <v>488.37133257853571</v>
      </c>
      <c r="J38" s="14">
        <f t="shared" si="23"/>
        <v>456.37026913751083</v>
      </c>
      <c r="K38">
        <v>503.77571984982973</v>
      </c>
      <c r="L38" s="8">
        <f t="shared" si="24"/>
        <v>67819.887285945093</v>
      </c>
      <c r="M38" s="6">
        <f>L38*'[1]BE Projection'!$C$7</f>
        <v>265.48825072203459</v>
      </c>
      <c r="N38" s="7">
        <f t="shared" si="25"/>
        <v>487.59176280587218</v>
      </c>
      <c r="O38" s="16"/>
    </row>
    <row r="39" spans="1:15" x14ac:dyDescent="0.25">
      <c r="A39">
        <v>35</v>
      </c>
      <c r="B39" s="1">
        <f t="shared" si="18"/>
        <v>0.79632893807431215</v>
      </c>
      <c r="C39" s="1">
        <f>'[1]BE Projection'!$J51</f>
        <v>7.16147570550274E-3</v>
      </c>
      <c r="D39" s="1">
        <f t="shared" si="19"/>
        <v>5.7440260465924289E-3</v>
      </c>
      <c r="E39" s="19">
        <v>5.4063599999999998E-3</v>
      </c>
      <c r="F39" s="8">
        <f t="shared" si="20"/>
        <v>84413.592350030493</v>
      </c>
      <c r="G39" s="6">
        <f>F39*'[1]BE Projection'!$C$7</f>
        <v>330.44609578430993</v>
      </c>
      <c r="H39" s="6">
        <f t="shared" si="21"/>
        <v>84744.038445814804</v>
      </c>
      <c r="I39" s="7">
        <f t="shared" si="22"/>
        <v>486.77196412619043</v>
      </c>
      <c r="J39" s="14">
        <f t="shared" si="23"/>
        <v>458.15677969191529</v>
      </c>
      <c r="K39">
        <v>505.74780412682992</v>
      </c>
      <c r="L39" s="8">
        <f t="shared" si="24"/>
        <v>67597.783773861258</v>
      </c>
      <c r="M39" s="6">
        <f>L39*'[1]BE Projection'!$C$7</f>
        <v>264.61880261083758</v>
      </c>
      <c r="N39" s="7">
        <f t="shared" si="25"/>
        <v>485.99494736845151</v>
      </c>
      <c r="O39" s="16"/>
    </row>
    <row r="40" spans="1:15" x14ac:dyDescent="0.25">
      <c r="A40">
        <v>36</v>
      </c>
      <c r="B40" s="1">
        <f t="shared" si="18"/>
        <v>0.79062604773070422</v>
      </c>
      <c r="C40" s="1">
        <f>'[1]BE Projection'!$J52</f>
        <v>8.1128103125930329E-3</v>
      </c>
      <c r="D40" s="1">
        <f t="shared" si="19"/>
        <v>6.4604656210255386E-3</v>
      </c>
      <c r="E40" s="19">
        <v>5.4063599999999998E-3</v>
      </c>
      <c r="F40" s="8">
        <f t="shared" si="20"/>
        <v>84744.038445814804</v>
      </c>
      <c r="G40" s="6">
        <f>F40*'[1]BE Projection'!$C$7</f>
        <v>331.73966260428728</v>
      </c>
      <c r="H40" s="6">
        <f t="shared" si="21"/>
        <v>85075.778108419094</v>
      </c>
      <c r="I40" s="7">
        <f t="shared" si="22"/>
        <v>549.62913965143866</v>
      </c>
      <c r="J40" s="14">
        <f t="shared" si="23"/>
        <v>459.95028373423264</v>
      </c>
      <c r="K40">
        <v>524.91766632844644</v>
      </c>
      <c r="L40" s="8">
        <f t="shared" si="24"/>
        <v>67376.407629103647</v>
      </c>
      <c r="M40" s="6">
        <f>L40*'[1]BE Projection'!$C$7</f>
        <v>263.7522018573523</v>
      </c>
      <c r="N40" s="7">
        <f t="shared" si="25"/>
        <v>548.75178622206136</v>
      </c>
      <c r="O40" s="16"/>
    </row>
    <row r="41" spans="1:15" x14ac:dyDescent="0.25">
      <c r="A41">
        <v>37</v>
      </c>
      <c r="B41" s="1">
        <f t="shared" si="18"/>
        <v>0.78421184857726989</v>
      </c>
      <c r="C41" s="1">
        <f>'[1]BE Projection'!$J53</f>
        <v>8.1128103125930329E-3</v>
      </c>
      <c r="D41" s="1">
        <f t="shared" si="19"/>
        <v>6.4141991534343284E-3</v>
      </c>
      <c r="E41" s="19">
        <v>5.4063599999999998E-3</v>
      </c>
      <c r="F41" s="8">
        <f t="shared" si="20"/>
        <v>85075.778108419094</v>
      </c>
      <c r="G41" s="6">
        <f>F41*'[1]BE Projection'!$C$7</f>
        <v>333.03829323085546</v>
      </c>
      <c r="H41" s="6">
        <f t="shared" si="21"/>
        <v>85408.81640164995</v>
      </c>
      <c r="I41" s="7">
        <f t="shared" si="22"/>
        <v>547.82915785929106</v>
      </c>
      <c r="J41" s="14">
        <f t="shared" si="23"/>
        <v>461.75080864122418</v>
      </c>
      <c r="K41">
        <v>526.97251303045596</v>
      </c>
      <c r="L41" s="8">
        <f t="shared" si="24"/>
        <v>67091.408044738942</v>
      </c>
      <c r="M41" s="6">
        <f>L41*'[1]BE Projection'!$C$7</f>
        <v>262.63654029940142</v>
      </c>
      <c r="N41" s="7">
        <f t="shared" si="25"/>
        <v>546.43058750435</v>
      </c>
      <c r="O41" s="16"/>
    </row>
    <row r="42" spans="1:15" x14ac:dyDescent="0.25">
      <c r="A42">
        <v>38</v>
      </c>
      <c r="B42" s="1">
        <f t="shared" ref="B42:B105" si="26">B41*(1-C41)</f>
        <v>0.77784968660487452</v>
      </c>
      <c r="C42" s="1">
        <f>'[1]BE Projection'!$J54</f>
        <v>8.1128103125930329E-3</v>
      </c>
      <c r="D42" s="1">
        <f t="shared" ref="D42:D105" si="27">B41*C42</f>
        <v>6.3621619723953212E-3</v>
      </c>
      <c r="E42" s="19">
        <v>5.4063599999999998E-3</v>
      </c>
      <c r="F42" s="8">
        <f t="shared" ref="F42:F105" si="28">H41</f>
        <v>85408.81640164995</v>
      </c>
      <c r="G42" s="6">
        <f>F42*'[1]BE Projection'!$C$7</f>
        <v>334.3420074868306</v>
      </c>
      <c r="H42" s="6">
        <f t="shared" ref="H42:H105" si="29">SUM(F42:G42)</f>
        <v>85743.158409136784</v>
      </c>
      <c r="I42" s="7">
        <f t="shared" ref="I42:I105" si="30">H42*D42</f>
        <v>545.51186182367815</v>
      </c>
      <c r="J42" s="14">
        <f t="shared" ref="J42:J105" si="31">H42*E42</f>
        <v>463.55838189682072</v>
      </c>
      <c r="K42">
        <v>529.0354036510447</v>
      </c>
      <c r="L42" s="8">
        <f t="shared" ref="L42:L105" si="32">L41+M41-N41</f>
        <v>66807.61399753399</v>
      </c>
      <c r="M42" s="6">
        <f>L42*'[1]BE Projection'!$C$7</f>
        <v>261.5255979464585</v>
      </c>
      <c r="N42" s="7">
        <f t="shared" ref="N42:N105" si="33">(L42+M42)*C42</f>
        <v>544.11920736695549</v>
      </c>
      <c r="O42" s="16"/>
    </row>
    <row r="43" spans="1:15" x14ac:dyDescent="0.25">
      <c r="A43">
        <v>39</v>
      </c>
      <c r="B43" s="1">
        <f t="shared" si="26"/>
        <v>0.77153913964573928</v>
      </c>
      <c r="C43" s="1">
        <f>'[1]BE Projection'!$J55</f>
        <v>8.1128103125930329E-3</v>
      </c>
      <c r="D43" s="1">
        <f t="shared" si="27"/>
        <v>6.3105469591352844E-3</v>
      </c>
      <c r="E43" s="19">
        <v>5.4063599999999998E-3</v>
      </c>
      <c r="F43" s="8">
        <f t="shared" si="28"/>
        <v>85743.158409136784</v>
      </c>
      <c r="G43" s="6">
        <f>F43*'[1]BE Projection'!$C$7</f>
        <v>335.65082527262729</v>
      </c>
      <c r="H43" s="6">
        <f t="shared" si="29"/>
        <v>86078.809234409418</v>
      </c>
      <c r="I43" s="7">
        <f t="shared" si="30"/>
        <v>543.20436786018854</v>
      </c>
      <c r="J43" s="14">
        <f t="shared" si="31"/>
        <v>465.37303109254168</v>
      </c>
      <c r="K43">
        <v>531.10636967899779</v>
      </c>
      <c r="L43" s="8">
        <f t="shared" si="32"/>
        <v>66525.020388113495</v>
      </c>
      <c r="M43" s="6">
        <f>L43*'[1]BE Projection'!$C$7</f>
        <v>260.41935483647001</v>
      </c>
      <c r="N43" s="7">
        <f t="shared" si="33"/>
        <v>541.81760427766505</v>
      </c>
      <c r="O43" s="16"/>
    </row>
    <row r="44" spans="1:15" x14ac:dyDescent="0.25">
      <c r="A44">
        <v>40</v>
      </c>
      <c r="B44" s="1">
        <f t="shared" si="26"/>
        <v>0.76527978895705218</v>
      </c>
      <c r="C44" s="1">
        <f>'[1]BE Projection'!$J56</f>
        <v>8.1128103125930329E-3</v>
      </c>
      <c r="D44" s="1">
        <f t="shared" si="27"/>
        <v>6.2593506886871094E-3</v>
      </c>
      <c r="E44" s="19">
        <v>5.4063599999999998E-3</v>
      </c>
      <c r="F44" s="8">
        <f t="shared" si="28"/>
        <v>86078.809234409418</v>
      </c>
      <c r="G44" s="6">
        <f>F44*'[1]BE Projection'!$C$7</f>
        <v>336.96476656656256</v>
      </c>
      <c r="H44" s="6">
        <f t="shared" si="29"/>
        <v>86415.774000975987</v>
      </c>
      <c r="I44" s="7">
        <f t="shared" si="30"/>
        <v>540.90663450643865</v>
      </c>
      <c r="J44" s="14">
        <f t="shared" si="31"/>
        <v>467.19478392791655</v>
      </c>
      <c r="K44">
        <v>533.18544272636643</v>
      </c>
      <c r="L44" s="8">
        <f t="shared" si="32"/>
        <v>66243.622138672305</v>
      </c>
      <c r="M44" s="6">
        <f>L44*'[1]BE Projection'!$C$7</f>
        <v>259.31779109182094</v>
      </c>
      <c r="N44" s="7">
        <f t="shared" si="33"/>
        <v>539.52573687994538</v>
      </c>
      <c r="O44" s="16"/>
    </row>
    <row r="45" spans="1:15" x14ac:dyDescent="0.25">
      <c r="A45">
        <v>41</v>
      </c>
      <c r="B45" s="1">
        <f t="shared" si="26"/>
        <v>0.75907121919318243</v>
      </c>
      <c r="C45" s="1">
        <f>'[1]BE Projection'!$J57</f>
        <v>8.1128103125930329E-3</v>
      </c>
      <c r="D45" s="1">
        <f t="shared" si="27"/>
        <v>6.2085697638697927E-3</v>
      </c>
      <c r="E45" s="19">
        <v>5.4063599999999998E-3</v>
      </c>
      <c r="F45" s="8">
        <f t="shared" si="28"/>
        <v>86415.774000975987</v>
      </c>
      <c r="G45" s="6">
        <f>F45*'[1]BE Projection'!$C$7</f>
        <v>338.28385142516061</v>
      </c>
      <c r="H45" s="6">
        <f t="shared" si="29"/>
        <v>86754.057852401151</v>
      </c>
      <c r="I45" s="7">
        <f t="shared" si="30"/>
        <v>538.61862047542854</v>
      </c>
      <c r="J45" s="14">
        <f t="shared" si="31"/>
        <v>469.02366821090749</v>
      </c>
      <c r="K45">
        <v>535.27265452895074</v>
      </c>
      <c r="L45" s="8">
        <f t="shared" si="32"/>
        <v>65963.414192884171</v>
      </c>
      <c r="M45" s="6">
        <f>L45*'[1]BE Projection'!$C$7</f>
        <v>258.22088691897778</v>
      </c>
      <c r="N45" s="7">
        <f t="shared" si="33"/>
        <v>537.24356399219948</v>
      </c>
      <c r="O45" s="16"/>
    </row>
    <row r="46" spans="1:15" x14ac:dyDescent="0.25">
      <c r="A46">
        <v>42</v>
      </c>
      <c r="B46" s="1">
        <f t="shared" si="26"/>
        <v>0.75291301837811941</v>
      </c>
      <c r="C46" s="1">
        <f>'[1]BE Projection'!$J58</f>
        <v>8.1128103125930329E-3</v>
      </c>
      <c r="D46" s="1">
        <f t="shared" si="27"/>
        <v>6.158200815063017E-3</v>
      </c>
      <c r="E46" s="19">
        <v>5.4063599999999998E-3</v>
      </c>
      <c r="F46" s="8">
        <f t="shared" si="28"/>
        <v>86754.057852401151</v>
      </c>
      <c r="G46" s="6">
        <f>F46*'[1]BE Projection'!$C$7</f>
        <v>339.60809998345911</v>
      </c>
      <c r="H46" s="6">
        <f t="shared" si="29"/>
        <v>87093.665952384603</v>
      </c>
      <c r="I46" s="7">
        <f t="shared" si="30"/>
        <v>536.34028465480105</v>
      </c>
      <c r="J46" s="14">
        <f t="shared" si="31"/>
        <v>470.85971185833398</v>
      </c>
      <c r="K46">
        <v>537.36803694678395</v>
      </c>
      <c r="L46" s="8">
        <f t="shared" si="32"/>
        <v>65684.391515810945</v>
      </c>
      <c r="M46" s="6">
        <f>L46*'[1]BE Projection'!$C$7</f>
        <v>257.12862260813307</v>
      </c>
      <c r="N46" s="7">
        <f t="shared" si="33"/>
        <v>534.97104460702747</v>
      </c>
      <c r="O46" s="16"/>
    </row>
    <row r="47" spans="1:15" x14ac:dyDescent="0.25">
      <c r="A47">
        <v>43</v>
      </c>
      <c r="B47" s="1">
        <f t="shared" si="26"/>
        <v>0.74680477787813582</v>
      </c>
      <c r="C47" s="1">
        <f>'[1]BE Projection'!$J59</f>
        <v>8.1128103125930329E-3</v>
      </c>
      <c r="D47" s="1">
        <f t="shared" si="27"/>
        <v>6.1082404999835546E-3</v>
      </c>
      <c r="E47" s="19">
        <v>5.4063599999999998E-3</v>
      </c>
      <c r="F47" s="8">
        <f t="shared" si="28"/>
        <v>87093.665952384603</v>
      </c>
      <c r="G47" s="6">
        <f>F47*'[1]BE Projection'!$C$7</f>
        <v>340.93753245531644</v>
      </c>
      <c r="H47" s="6">
        <f t="shared" si="29"/>
        <v>87434.603484839914</v>
      </c>
      <c r="I47" s="7">
        <f t="shared" si="30"/>
        <v>534.07158610610236</v>
      </c>
      <c r="J47" s="14">
        <f t="shared" si="31"/>
        <v>472.70294289629908</v>
      </c>
      <c r="K47">
        <v>539.47162196461898</v>
      </c>
      <c r="L47" s="8">
        <f t="shared" si="32"/>
        <v>65406.549093812049</v>
      </c>
      <c r="M47" s="6">
        <f>L47*'[1]BE Projection'!$C$7</f>
        <v>256.04097853285094</v>
      </c>
      <c r="N47" s="7">
        <f t="shared" si="33"/>
        <v>532.70813789048862</v>
      </c>
      <c r="O47" s="16"/>
    </row>
    <row r="48" spans="1:15" x14ac:dyDescent="0.25">
      <c r="A48">
        <v>44</v>
      </c>
      <c r="B48" s="1">
        <f t="shared" si="26"/>
        <v>0.74074609237467237</v>
      </c>
      <c r="C48" s="1">
        <f>'[1]BE Projection'!$J60</f>
        <v>8.1128103125930329E-3</v>
      </c>
      <c r="D48" s="1">
        <f t="shared" si="27"/>
        <v>6.0586855034634899E-3</v>
      </c>
      <c r="E48" s="19">
        <v>5.4063599999999998E-3</v>
      </c>
      <c r="F48" s="8">
        <f t="shared" si="28"/>
        <v>87434.603484839914</v>
      </c>
      <c r="G48" s="6">
        <f>F48*'[1]BE Projection'!$C$7</f>
        <v>342.27216913372047</v>
      </c>
      <c r="H48" s="6">
        <f t="shared" si="29"/>
        <v>87776.875653973635</v>
      </c>
      <c r="I48" s="7">
        <f t="shared" si="30"/>
        <v>531.81248406404745</v>
      </c>
      <c r="J48" s="14">
        <f t="shared" si="31"/>
        <v>474.55338946061687</v>
      </c>
      <c r="K48">
        <v>541.58344169241627</v>
      </c>
      <c r="L48" s="8">
        <f t="shared" si="32"/>
        <v>65129.88193445441</v>
      </c>
      <c r="M48" s="6">
        <f>L48*'[1]BE Projection'!$C$7</f>
        <v>254.95793514971459</v>
      </c>
      <c r="N48" s="7">
        <f t="shared" si="33"/>
        <v>530.45480318136845</v>
      </c>
      <c r="O48" s="16"/>
    </row>
    <row r="49" spans="1:15" x14ac:dyDescent="0.25">
      <c r="A49">
        <v>45</v>
      </c>
      <c r="B49" s="1">
        <f t="shared" si="26"/>
        <v>0.73473655983744213</v>
      </c>
      <c r="C49" s="1">
        <f>'[1]BE Projection'!$J61</f>
        <v>8.1128103125930329E-3</v>
      </c>
      <c r="D49" s="1">
        <f t="shared" si="27"/>
        <v>6.0095325372302331E-3</v>
      </c>
      <c r="E49" s="19">
        <v>5.4063599999999998E-3</v>
      </c>
      <c r="F49" s="8">
        <f t="shared" si="28"/>
        <v>87776.875653973635</v>
      </c>
      <c r="G49" s="6">
        <f>F49*'[1]BE Projection'!$C$7</f>
        <v>343.61203039109796</v>
      </c>
      <c r="H49" s="6">
        <f t="shared" si="29"/>
        <v>88120.487684364736</v>
      </c>
      <c r="I49" s="7">
        <f t="shared" si="30"/>
        <v>529.56293793578595</v>
      </c>
      <c r="J49" s="14">
        <f t="shared" si="31"/>
        <v>476.41107979724211</v>
      </c>
      <c r="K49">
        <v>543.70352836583425</v>
      </c>
      <c r="L49" s="8">
        <f t="shared" si="32"/>
        <v>64854.385066422758</v>
      </c>
      <c r="M49" s="6">
        <f>L49*'[1]BE Projection'!$C$7</f>
        <v>253.8794729979752</v>
      </c>
      <c r="N49" s="7">
        <f t="shared" si="33"/>
        <v>528.21099999044782</v>
      </c>
      <c r="O49" s="16"/>
    </row>
    <row r="50" spans="1:15" x14ac:dyDescent="0.25">
      <c r="A50">
        <v>46</v>
      </c>
      <c r="B50" s="1">
        <f t="shared" si="26"/>
        <v>0.72877578149775379</v>
      </c>
      <c r="C50" s="1">
        <f>'[1]BE Projection'!$J62</f>
        <v>8.1128103125930329E-3</v>
      </c>
      <c r="D50" s="1">
        <f t="shared" si="27"/>
        <v>5.9607783396883286E-3</v>
      </c>
      <c r="E50" s="19">
        <v>5.4063599999999998E-3</v>
      </c>
      <c r="F50" s="8">
        <f t="shared" si="28"/>
        <v>88120.487684364736</v>
      </c>
      <c r="G50" s="6">
        <f>F50*'[1]BE Projection'!$C$7</f>
        <v>344.95713667962593</v>
      </c>
      <c r="H50" s="6">
        <f t="shared" si="29"/>
        <v>88465.444821044366</v>
      </c>
      <c r="I50" s="7">
        <f t="shared" si="30"/>
        <v>527.32290730017428</v>
      </c>
      <c r="J50" s="14">
        <f t="shared" si="31"/>
        <v>478.27604226270142</v>
      </c>
      <c r="K50">
        <v>545.83191434672142</v>
      </c>
      <c r="L50" s="8">
        <f t="shared" si="32"/>
        <v>64580.053539430286</v>
      </c>
      <c r="M50" s="6">
        <f>L50*'[1]BE Projection'!$C$7</f>
        <v>252.80557269920209</v>
      </c>
      <c r="N50" s="7">
        <f t="shared" si="33"/>
        <v>525.97668799977532</v>
      </c>
      <c r="O50" s="16"/>
    </row>
    <row r="51" spans="1:15" x14ac:dyDescent="0.25">
      <c r="A51">
        <v>47</v>
      </c>
      <c r="B51" s="1">
        <f t="shared" si="26"/>
        <v>0.7228633618220508</v>
      </c>
      <c r="C51" s="1">
        <f>'[1]BE Projection'!$J63</f>
        <v>8.1128103125930329E-3</v>
      </c>
      <c r="D51" s="1">
        <f t="shared" si="27"/>
        <v>5.9124196757030234E-3</v>
      </c>
      <c r="E51" s="19">
        <v>5.4063599999999998E-3</v>
      </c>
      <c r="F51" s="8">
        <f t="shared" si="28"/>
        <v>88465.444821044366</v>
      </c>
      <c r="G51" s="6">
        <f>F51*'[1]BE Projection'!$C$7</f>
        <v>346.30750853154336</v>
      </c>
      <c r="H51" s="6">
        <f t="shared" si="29"/>
        <v>88811.752329575917</v>
      </c>
      <c r="I51" s="7">
        <f t="shared" si="30"/>
        <v>525.09235190704851</v>
      </c>
      <c r="J51" s="14">
        <f t="shared" si="31"/>
        <v>480.14830532452606</v>
      </c>
      <c r="K51">
        <v>547.96863212360995</v>
      </c>
      <c r="L51" s="8">
        <f t="shared" si="32"/>
        <v>64306.882424129712</v>
      </c>
      <c r="M51" s="6">
        <f>L51*'[1]BE Projection'!$C$7</f>
        <v>251.73621495693456</v>
      </c>
      <c r="N51" s="7">
        <f t="shared" si="33"/>
        <v>523.751827061943</v>
      </c>
      <c r="O51" s="16"/>
    </row>
    <row r="52" spans="1:15" x14ac:dyDescent="0.25">
      <c r="A52">
        <v>48</v>
      </c>
      <c r="B52" s="1">
        <f t="shared" si="26"/>
        <v>0.71699890848566517</v>
      </c>
      <c r="C52" s="1">
        <f>'[1]BE Projection'!$J64</f>
        <v>9.1820677187309796E-3</v>
      </c>
      <c r="D52" s="1">
        <f t="shared" si="27"/>
        <v>6.6373803396396047E-3</v>
      </c>
      <c r="E52" s="19">
        <v>5.4063599999999998E-3</v>
      </c>
      <c r="F52" s="8">
        <f t="shared" si="28"/>
        <v>88811.752329575917</v>
      </c>
      <c r="G52" s="6">
        <f>F52*'[1]BE Projection'!$C$7</f>
        <v>347.66316655946525</v>
      </c>
      <c r="H52" s="6">
        <f t="shared" si="29"/>
        <v>89159.415496135378</v>
      </c>
      <c r="I52" s="7">
        <f t="shared" si="30"/>
        <v>591.7849515078077</v>
      </c>
      <c r="J52" s="14">
        <f t="shared" si="31"/>
        <v>482.02789756168647</v>
      </c>
      <c r="K52">
        <v>561.35961017205898</v>
      </c>
      <c r="L52" s="8">
        <f t="shared" si="32"/>
        <v>64034.866812024709</v>
      </c>
      <c r="M52" s="6">
        <f>L52*'[1]BE Projection'!$C$7</f>
        <v>250.67138055633527</v>
      </c>
      <c r="N52" s="7">
        <f t="shared" si="33"/>
        <v>590.2741650193459</v>
      </c>
      <c r="O52" s="16"/>
    </row>
    <row r="53" spans="1:15" x14ac:dyDescent="0.25">
      <c r="A53">
        <v>49</v>
      </c>
      <c r="B53" s="1">
        <f t="shared" si="26"/>
        <v>0.71041537595369364</v>
      </c>
      <c r="C53" s="1">
        <f>'[1]BE Projection'!$J65</f>
        <v>9.1820677187309796E-3</v>
      </c>
      <c r="D53" s="1">
        <f t="shared" si="27"/>
        <v>6.583532531971574E-3</v>
      </c>
      <c r="E53" s="19">
        <v>5.4063599999999998E-3</v>
      </c>
      <c r="F53" s="8">
        <f t="shared" si="28"/>
        <v>89159.415496135378</v>
      </c>
      <c r="G53" s="6">
        <f>F53*'[1]BE Projection'!$C$7</f>
        <v>349.02413145669658</v>
      </c>
      <c r="H53" s="6">
        <f t="shared" si="29"/>
        <v>89508.439627592074</v>
      </c>
      <c r="I53" s="7">
        <f t="shared" si="30"/>
        <v>589.28172417426606</v>
      </c>
      <c r="J53" s="14">
        <f t="shared" si="31"/>
        <v>483.91484766502867</v>
      </c>
      <c r="K53">
        <v>563.55711278551007</v>
      </c>
      <c r="L53" s="8">
        <f t="shared" si="32"/>
        <v>63695.264027561694</v>
      </c>
      <c r="M53" s="6">
        <f>L53*'[1]BE Projection'!$C$7</f>
        <v>249.34196889265499</v>
      </c>
      <c r="N53" s="7">
        <f t="shared" si="33"/>
        <v>587.14370250701484</v>
      </c>
      <c r="O53" s="16"/>
    </row>
    <row r="54" spans="1:15" x14ac:dyDescent="0.25">
      <c r="A54">
        <v>50</v>
      </c>
      <c r="B54" s="1">
        <f t="shared" si="26"/>
        <v>0.70389229386325913</v>
      </c>
      <c r="C54" s="1">
        <f>'[1]BE Projection'!$J66</f>
        <v>9.1820677187309796E-3</v>
      </c>
      <c r="D54" s="1">
        <f t="shared" si="27"/>
        <v>6.523082090434543E-3</v>
      </c>
      <c r="E54" s="19">
        <v>5.4063599999999998E-3</v>
      </c>
      <c r="F54" s="8">
        <f t="shared" si="28"/>
        <v>89508.439627592074</v>
      </c>
      <c r="G54" s="6">
        <f>F54*'[1]BE Projection'!$C$7</f>
        <v>350.39042399754862</v>
      </c>
      <c r="H54" s="6">
        <f t="shared" si="29"/>
        <v>89858.830051589626</v>
      </c>
      <c r="I54" s="7">
        <f t="shared" si="30"/>
        <v>586.15652497692554</v>
      </c>
      <c r="J54" s="14">
        <f t="shared" si="31"/>
        <v>485.80918443771208</v>
      </c>
      <c r="K54">
        <v>565.76321775945985</v>
      </c>
      <c r="L54" s="8">
        <f t="shared" si="32"/>
        <v>63357.462293947334</v>
      </c>
      <c r="M54" s="6">
        <f>L54*'[1]BE Projection'!$C$7</f>
        <v>248.0196076364349</v>
      </c>
      <c r="N54" s="7">
        <f t="shared" si="33"/>
        <v>584.0298421028599</v>
      </c>
      <c r="O54" s="16"/>
    </row>
    <row r="55" spans="1:15" x14ac:dyDescent="0.25">
      <c r="A55">
        <v>51</v>
      </c>
      <c r="B55" s="1">
        <f t="shared" si="26"/>
        <v>0.69742910715431383</v>
      </c>
      <c r="C55" s="1">
        <f>'[1]BE Projection'!$J67</f>
        <v>9.1820677187309796E-3</v>
      </c>
      <c r="D55" s="1">
        <f t="shared" si="27"/>
        <v>6.4631867089453322E-3</v>
      </c>
      <c r="E55" s="19">
        <v>5.4063599999999998E-3</v>
      </c>
      <c r="F55" s="8">
        <f t="shared" si="28"/>
        <v>89858.830051589626</v>
      </c>
      <c r="G55" s="6">
        <f>F55*'[1]BE Projection'!$C$7</f>
        <v>351.76206503765604</v>
      </c>
      <c r="H55" s="6">
        <f t="shared" si="29"/>
        <v>90210.592116627289</v>
      </c>
      <c r="I55" s="7">
        <f t="shared" si="30"/>
        <v>583.04789997427406</v>
      </c>
      <c r="J55" s="14">
        <f t="shared" si="31"/>
        <v>487.7109367956491</v>
      </c>
      <c r="K55">
        <v>567.97795876877444</v>
      </c>
      <c r="L55" s="8">
        <f t="shared" si="32"/>
        <v>63021.452059480915</v>
      </c>
      <c r="M55" s="6">
        <f>L55*'[1]BE Projection'!$C$7</f>
        <v>246.70425939651415</v>
      </c>
      <c r="N55" s="7">
        <f t="shared" si="33"/>
        <v>580.93249575918992</v>
      </c>
      <c r="O55" s="16"/>
    </row>
    <row r="56" spans="1:15" x14ac:dyDescent="0.25">
      <c r="A56">
        <v>52</v>
      </c>
      <c r="B56" s="1">
        <f t="shared" si="26"/>
        <v>0.69102526586340884</v>
      </c>
      <c r="C56" s="1">
        <f>'[1]BE Projection'!$J68</f>
        <v>9.1820677187309796E-3</v>
      </c>
      <c r="D56" s="1">
        <f t="shared" si="27"/>
        <v>6.4038412909049941E-3</v>
      </c>
      <c r="E56" s="19">
        <v>5.4063599999999998E-3</v>
      </c>
      <c r="F56" s="8">
        <f t="shared" si="28"/>
        <v>90210.592116627289</v>
      </c>
      <c r="G56" s="6">
        <f>F56*'[1]BE Projection'!$C$7</f>
        <v>353.13907551429503</v>
      </c>
      <c r="H56" s="6">
        <f t="shared" si="29"/>
        <v>90563.731192141582</v>
      </c>
      <c r="I56" s="7">
        <f t="shared" si="30"/>
        <v>579.95576126665685</v>
      </c>
      <c r="J56" s="14">
        <f t="shared" si="31"/>
        <v>489.62013376794653</v>
      </c>
      <c r="K56">
        <v>570.20136962014374</v>
      </c>
      <c r="L56" s="8">
        <f t="shared" si="32"/>
        <v>62687.223823118242</v>
      </c>
      <c r="M56" s="6">
        <f>L56*'[1]BE Projection'!$C$7</f>
        <v>245.39588698003234</v>
      </c>
      <c r="N56" s="7">
        <f t="shared" si="33"/>
        <v>577.85157589526636</v>
      </c>
      <c r="O56" s="16"/>
    </row>
    <row r="57" spans="1:15" x14ac:dyDescent="0.25">
      <c r="A57">
        <v>53</v>
      </c>
      <c r="B57" s="1">
        <f t="shared" si="26"/>
        <v>0.68468022507689696</v>
      </c>
      <c r="C57" s="1">
        <f>'[1]BE Projection'!$J69</f>
        <v>9.1820677187309796E-3</v>
      </c>
      <c r="D57" s="1">
        <f t="shared" si="27"/>
        <v>6.3450407865118987E-3</v>
      </c>
      <c r="E57" s="19">
        <v>5.4063599999999998E-3</v>
      </c>
      <c r="F57" s="8">
        <f t="shared" si="28"/>
        <v>90563.731192141582</v>
      </c>
      <c r="G57" s="6">
        <f>F57*'[1]BE Projection'!$C$7</f>
        <v>354.52147644670288</v>
      </c>
      <c r="H57" s="6">
        <f t="shared" si="29"/>
        <v>90918.252668588291</v>
      </c>
      <c r="I57" s="7">
        <f t="shared" si="30"/>
        <v>576.88002142058701</v>
      </c>
      <c r="J57" s="14">
        <f t="shared" si="31"/>
        <v>491.53680449734895</v>
      </c>
      <c r="K57">
        <v>572.43348425259762</v>
      </c>
      <c r="L57" s="8">
        <f t="shared" si="32"/>
        <v>62354.768134203012</v>
      </c>
      <c r="M57" s="6">
        <f>L57*'[1]BE Projection'!$C$7</f>
        <v>244.09445339137781</v>
      </c>
      <c r="N57" s="7">
        <f t="shared" si="33"/>
        <v>574.78699539482693</v>
      </c>
      <c r="O57" s="16"/>
    </row>
    <row r="58" spans="1:15" x14ac:dyDescent="0.25">
      <c r="A58">
        <v>54</v>
      </c>
      <c r="B58" s="1">
        <f t="shared" si="26"/>
        <v>0.67839344488456488</v>
      </c>
      <c r="C58" s="1">
        <f>'[1]BE Projection'!$J70</f>
        <v>9.1820677187309796E-3</v>
      </c>
      <c r="D58" s="1">
        <f t="shared" si="27"/>
        <v>6.2867801923320371E-3</v>
      </c>
      <c r="E58" s="19">
        <v>5.4063599999999998E-3</v>
      </c>
      <c r="F58" s="8">
        <f t="shared" si="28"/>
        <v>90918.252668588291</v>
      </c>
      <c r="G58" s="6">
        <f>F58*'[1]BE Projection'!$C$7</f>
        <v>355.90928893639915</v>
      </c>
      <c r="H58" s="6">
        <f t="shared" si="29"/>
        <v>91274.161957524688</v>
      </c>
      <c r="I58" s="7">
        <f t="shared" si="30"/>
        <v>573.82059346627261</v>
      </c>
      <c r="J58" s="14">
        <f t="shared" si="31"/>
        <v>493.46097824068318</v>
      </c>
      <c r="K58">
        <v>574.67433673802373</v>
      </c>
      <c r="L58" s="8">
        <f t="shared" si="32"/>
        <v>62024.075592199566</v>
      </c>
      <c r="M58" s="6">
        <f>L58*'[1]BE Projection'!$C$7</f>
        <v>242.7999218311416</v>
      </c>
      <c r="N58" s="7">
        <f t="shared" si="33"/>
        <v>571.73866760362182</v>
      </c>
      <c r="O58" s="16"/>
    </row>
    <row r="59" spans="1:15" x14ac:dyDescent="0.25">
      <c r="A59">
        <v>55</v>
      </c>
      <c r="B59" s="1">
        <f t="shared" si="26"/>
        <v>0.67216439033369157</v>
      </c>
      <c r="C59" s="1">
        <f>'[1]BE Projection'!$J71</f>
        <v>9.1820677187309796E-3</v>
      </c>
      <c r="D59" s="1">
        <f t="shared" si="27"/>
        <v>6.2290545508732675E-3</v>
      </c>
      <c r="E59" s="19">
        <v>5.4063599999999998E-3</v>
      </c>
      <c r="F59" s="8">
        <f t="shared" si="28"/>
        <v>91274.161957524688</v>
      </c>
      <c r="G59" s="6">
        <f>F59*'[1]BE Projection'!$C$7</f>
        <v>357.30253416750747</v>
      </c>
      <c r="H59" s="6">
        <f t="shared" si="29"/>
        <v>91631.464491692197</v>
      </c>
      <c r="I59" s="7">
        <f t="shared" si="30"/>
        <v>570.77739089515751</v>
      </c>
      <c r="J59" s="14">
        <f t="shared" si="31"/>
        <v>495.39268436930502</v>
      </c>
      <c r="K59">
        <v>576.92396128168855</v>
      </c>
      <c r="L59" s="8">
        <f t="shared" si="32"/>
        <v>61695.136846427093</v>
      </c>
      <c r="M59" s="6">
        <f>L59*'[1]BE Projection'!$C$7</f>
        <v>241.51225569507693</v>
      </c>
      <c r="N59" s="7">
        <f t="shared" si="33"/>
        <v>568.70650632696402</v>
      </c>
      <c r="O59" s="16"/>
    </row>
    <row r="60" spans="1:15" x14ac:dyDescent="0.25">
      <c r="A60">
        <v>56</v>
      </c>
      <c r="B60" s="1">
        <f t="shared" si="26"/>
        <v>0.6659925313835281</v>
      </c>
      <c r="C60" s="1">
        <f>'[1]BE Projection'!$J72</f>
        <v>9.1820677187309796E-3</v>
      </c>
      <c r="D60" s="1">
        <f t="shared" si="27"/>
        <v>6.1718589501634788E-3</v>
      </c>
      <c r="E60" s="19">
        <v>5.4063599999999998E-3</v>
      </c>
      <c r="F60" s="8">
        <f t="shared" si="28"/>
        <v>91631.464491692197</v>
      </c>
      <c r="G60" s="6">
        <f>F60*'[1]BE Projection'!$C$7</f>
        <v>358.70123340707909</v>
      </c>
      <c r="H60" s="6">
        <f t="shared" si="29"/>
        <v>91990.165725099272</v>
      </c>
      <c r="I60" s="7">
        <f t="shared" si="30"/>
        <v>567.75032765747562</v>
      </c>
      <c r="J60" s="14">
        <f t="shared" si="31"/>
        <v>497.33195236954771</v>
      </c>
      <c r="K60">
        <v>579.18239222275747</v>
      </c>
      <c r="L60" s="8">
        <f t="shared" si="32"/>
        <v>61367.942595795204</v>
      </c>
      <c r="M60" s="6">
        <f>L60*'[1]BE Projection'!$C$7</f>
        <v>240.23141857306408</v>
      </c>
      <c r="N60" s="7">
        <f t="shared" si="33"/>
        <v>565.69042582729162</v>
      </c>
      <c r="O60" s="16"/>
    </row>
    <row r="61" spans="1:15" x14ac:dyDescent="0.25">
      <c r="A61">
        <v>57</v>
      </c>
      <c r="B61" s="1">
        <f t="shared" si="26"/>
        <v>0.6598773428601955</v>
      </c>
      <c r="C61" s="1">
        <f>'[1]BE Projection'!$J73</f>
        <v>9.1820677187309796E-3</v>
      </c>
      <c r="D61" s="1">
        <f t="shared" si="27"/>
        <v>6.1151885233326226E-3</v>
      </c>
      <c r="E61" s="19">
        <v>5.4063599999999998E-3</v>
      </c>
      <c r="F61" s="8">
        <f t="shared" si="28"/>
        <v>91990.165725099272</v>
      </c>
      <c r="G61" s="6">
        <f>F61*'[1]BE Projection'!$C$7</f>
        <v>360.10540800541725</v>
      </c>
      <c r="H61" s="6">
        <f t="shared" si="29"/>
        <v>92350.271133104688</v>
      </c>
      <c r="I61" s="7">
        <f t="shared" si="30"/>
        <v>564.7393181598178</v>
      </c>
      <c r="J61" s="14">
        <f t="shared" si="31"/>
        <v>499.27881184317187</v>
      </c>
      <c r="K61">
        <v>581.44966403482147</v>
      </c>
      <c r="L61" s="8">
        <f t="shared" si="32"/>
        <v>61042.483588540978</v>
      </c>
      <c r="M61" s="6">
        <f>L61*'[1]BE Projection'!$C$7</f>
        <v>238.95737424808092</v>
      </c>
      <c r="N61" s="7">
        <f t="shared" si="33"/>
        <v>562.69034082174369</v>
      </c>
      <c r="O61" s="16"/>
    </row>
    <row r="62" spans="1:15" x14ac:dyDescent="0.25">
      <c r="A62">
        <v>58</v>
      </c>
      <c r="B62" s="1">
        <f t="shared" si="26"/>
        <v>0.65381830441199695</v>
      </c>
      <c r="C62" s="1">
        <f>'[1]BE Projection'!$J74</f>
        <v>9.1820677187309796E-3</v>
      </c>
      <c r="D62" s="1">
        <f t="shared" si="27"/>
        <v>6.0590384481985756E-3</v>
      </c>
      <c r="E62" s="19">
        <v>5.4063599999999998E-3</v>
      </c>
      <c r="F62" s="8">
        <f t="shared" si="28"/>
        <v>92350.271133104688</v>
      </c>
      <c r="G62" s="6">
        <f>F62*'[1]BE Projection'!$C$7</f>
        <v>361.51507939640339</v>
      </c>
      <c r="H62" s="6">
        <f t="shared" si="29"/>
        <v>92711.786212501087</v>
      </c>
      <c r="I62" s="7">
        <f t="shared" si="30"/>
        <v>561.74427726271063</v>
      </c>
      <c r="J62" s="14">
        <f t="shared" si="31"/>
        <v>501.23329250781734</v>
      </c>
      <c r="K62">
        <v>583.72581132642142</v>
      </c>
      <c r="L62" s="8">
        <f t="shared" si="32"/>
        <v>60718.750621967316</v>
      </c>
      <c r="M62" s="6">
        <f>L62*'[1]BE Projection'!$C$7</f>
        <v>237.69008669517891</v>
      </c>
      <c r="N62" s="7">
        <f t="shared" si="33"/>
        <v>559.70616647974884</v>
      </c>
      <c r="O62" s="16"/>
    </row>
    <row r="63" spans="1:15" x14ac:dyDescent="0.25">
      <c r="A63">
        <v>59</v>
      </c>
      <c r="B63" s="1">
        <f t="shared" si="26"/>
        <v>0.64781490046514012</v>
      </c>
      <c r="C63" s="1">
        <f>'[1]BE Projection'!$J75</f>
        <v>9.1820677187309796E-3</v>
      </c>
      <c r="D63" s="1">
        <f t="shared" si="27"/>
        <v>6.0034039468568222E-3</v>
      </c>
      <c r="E63" s="19">
        <v>5.4063599999999998E-3</v>
      </c>
      <c r="F63" s="8">
        <f t="shared" si="28"/>
        <v>92711.786212501087</v>
      </c>
      <c r="G63" s="6">
        <f>F63*'[1]BE Projection'!$C$7</f>
        <v>362.93026909782418</v>
      </c>
      <c r="H63" s="6">
        <f t="shared" si="29"/>
        <v>93074.716481598909</v>
      </c>
      <c r="I63" s="7">
        <f t="shared" si="30"/>
        <v>558.76512027821059</v>
      </c>
      <c r="J63" s="14">
        <f t="shared" si="31"/>
        <v>503.19542419745704</v>
      </c>
      <c r="K63">
        <v>586.01086884157735</v>
      </c>
      <c r="L63" s="8">
        <f t="shared" si="32"/>
        <v>60396.734542182741</v>
      </c>
      <c r="M63" s="6">
        <f>L63*'[1]BE Projection'!$C$7</f>
        <v>236.42952008046424</v>
      </c>
      <c r="N63" s="7">
        <f t="shared" si="33"/>
        <v>556.73781842062635</v>
      </c>
      <c r="O63" s="16"/>
    </row>
    <row r="64" spans="1:15" x14ac:dyDescent="0.25">
      <c r="A64">
        <v>60</v>
      </c>
      <c r="B64" s="1">
        <f t="shared" si="26"/>
        <v>0.64186662017986629</v>
      </c>
      <c r="C64" s="1">
        <f>'[1]BE Projection'!$J76</f>
        <v>1.0377603607895303E-2</v>
      </c>
      <c r="D64" s="1">
        <f t="shared" si="27"/>
        <v>6.7227662483153742E-3</v>
      </c>
      <c r="E64" s="19">
        <v>5.4063599999999998E-3</v>
      </c>
      <c r="F64" s="8">
        <f t="shared" si="28"/>
        <v>93074.716481598909</v>
      </c>
      <c r="G64" s="6">
        <f>F64*'[1]BE Projection'!$C$7</f>
        <v>364.3509987116999</v>
      </c>
      <c r="H64" s="6">
        <f t="shared" si="29"/>
        <v>93439.067480310609</v>
      </c>
      <c r="I64" s="7">
        <f t="shared" si="30"/>
        <v>628.1690091306948</v>
      </c>
      <c r="J64" s="14">
        <f t="shared" si="31"/>
        <v>505.16523686285205</v>
      </c>
      <c r="K64">
        <v>591.37483373933412</v>
      </c>
      <c r="L64" s="8">
        <f t="shared" si="32"/>
        <v>60076.426243842579</v>
      </c>
      <c r="M64" s="6">
        <f>L64*'[1]BE Projection'!$C$7</f>
        <v>235.17563876008487</v>
      </c>
      <c r="N64" s="7">
        <f t="shared" si="33"/>
        <v>625.88989729484251</v>
      </c>
      <c r="O64" s="16"/>
    </row>
    <row r="65" spans="1:15" x14ac:dyDescent="0.25">
      <c r="A65">
        <v>61</v>
      </c>
      <c r="B65" s="1">
        <f t="shared" si="26"/>
        <v>0.63520558282650019</v>
      </c>
      <c r="C65" s="1">
        <f>'[1]BE Projection'!$J77</f>
        <v>1.0377603607895303E-2</v>
      </c>
      <c r="D65" s="1">
        <f t="shared" si="27"/>
        <v>6.6610373533661444E-3</v>
      </c>
      <c r="E65" s="19">
        <v>5.4063599999999998E-3</v>
      </c>
      <c r="F65" s="8">
        <f t="shared" si="28"/>
        <v>93439.067480310609</v>
      </c>
      <c r="G65" s="6">
        <f>F65*'[1]BE Projection'!$C$7</f>
        <v>365.77728992461442</v>
      </c>
      <c r="H65" s="6">
        <f t="shared" si="29"/>
        <v>93804.844770235228</v>
      </c>
      <c r="I65" s="7">
        <f t="shared" si="30"/>
        <v>624.83757494124961</v>
      </c>
      <c r="J65" s="14">
        <f t="shared" si="31"/>
        <v>507.14276057200891</v>
      </c>
      <c r="K65">
        <v>593.68983417599372</v>
      </c>
      <c r="L65" s="8">
        <f t="shared" si="32"/>
        <v>59685.711985307818</v>
      </c>
      <c r="M65" s="6">
        <f>L65*'[1]BE Projection'!$C$7</f>
        <v>233.6461457281487</v>
      </c>
      <c r="N65" s="7">
        <f t="shared" si="33"/>
        <v>621.81934712340956</v>
      </c>
      <c r="O65" s="16"/>
    </row>
    <row r="66" spans="1:15" x14ac:dyDescent="0.25">
      <c r="A66">
        <v>62</v>
      </c>
      <c r="B66" s="1">
        <f t="shared" si="26"/>
        <v>0.62861367107840471</v>
      </c>
      <c r="C66" s="1">
        <f>'[1]BE Projection'!$J78</f>
        <v>1.0377603607895303E-2</v>
      </c>
      <c r="D66" s="1">
        <f t="shared" si="27"/>
        <v>6.5919117480955271E-3</v>
      </c>
      <c r="E66" s="19">
        <v>5.4063599999999998E-3</v>
      </c>
      <c r="F66" s="8">
        <f t="shared" si="28"/>
        <v>93804.844770235228</v>
      </c>
      <c r="G66" s="6">
        <f>F66*'[1]BE Projection'!$C$7</f>
        <v>367.20916450804594</v>
      </c>
      <c r="H66" s="6">
        <f t="shared" si="29"/>
        <v>94172.053934743279</v>
      </c>
      <c r="I66" s="7">
        <f t="shared" si="30"/>
        <v>620.77386867471978</v>
      </c>
      <c r="J66" s="14">
        <f t="shared" si="31"/>
        <v>509.12802551063868</v>
      </c>
      <c r="K66">
        <v>596.01389693102738</v>
      </c>
      <c r="L66" s="8">
        <f t="shared" si="32"/>
        <v>59297.538783912554</v>
      </c>
      <c r="M66" s="6">
        <f>L66*'[1]BE Projection'!$C$7</f>
        <v>232.12659993797223</v>
      </c>
      <c r="N66" s="7">
        <f t="shared" si="33"/>
        <v>617.77527026424741</v>
      </c>
      <c r="O66" s="16"/>
    </row>
    <row r="67" spans="1:15" x14ac:dyDescent="0.25">
      <c r="A67">
        <v>63</v>
      </c>
      <c r="B67" s="1">
        <f t="shared" si="26"/>
        <v>0.62209016757744917</v>
      </c>
      <c r="C67" s="1">
        <f>'[1]BE Projection'!$J79</f>
        <v>1.0377603607895303E-2</v>
      </c>
      <c r="D67" s="1">
        <f t="shared" si="27"/>
        <v>6.5235035009555634E-3</v>
      </c>
      <c r="E67" s="19">
        <v>5.4063599999999998E-3</v>
      </c>
      <c r="F67" s="8">
        <f t="shared" si="28"/>
        <v>94172.053934743279</v>
      </c>
      <c r="G67" s="6">
        <f>F67*'[1]BE Projection'!$C$7</f>
        <v>368.64664431869943</v>
      </c>
      <c r="H67" s="6">
        <f t="shared" si="29"/>
        <v>94540.700579061973</v>
      </c>
      <c r="I67" s="7">
        <f t="shared" si="30"/>
        <v>616.73659121030244</v>
      </c>
      <c r="J67" s="14">
        <f t="shared" si="31"/>
        <v>511.12106198261745</v>
      </c>
      <c r="K67">
        <v>598.34705747985561</v>
      </c>
      <c r="L67" s="8">
        <f t="shared" si="32"/>
        <v>58911.890113586283</v>
      </c>
      <c r="M67" s="6">
        <f>L67*'[1]BE Projection'!$C$7</f>
        <v>230.61693669647318</v>
      </c>
      <c r="N67" s="7">
        <f t="shared" si="33"/>
        <v>613.75749454498771</v>
      </c>
      <c r="O67" s="16"/>
    </row>
    <row r="68" spans="1:15" x14ac:dyDescent="0.25">
      <c r="A68">
        <v>64</v>
      </c>
      <c r="B68" s="1">
        <f t="shared" si="26"/>
        <v>0.61563436240996128</v>
      </c>
      <c r="C68" s="1">
        <f>'[1]BE Projection'!$J80</f>
        <v>1.0377603607895303E-2</v>
      </c>
      <c r="D68" s="1">
        <f t="shared" si="27"/>
        <v>6.45580516748793E-3</v>
      </c>
      <c r="E68" s="19">
        <v>5.4063599999999998E-3</v>
      </c>
      <c r="F68" s="8">
        <f t="shared" si="28"/>
        <v>94540.700579061973</v>
      </c>
      <c r="G68" s="6">
        <f>F68*'[1]BE Projection'!$C$7</f>
        <v>370.08975129884033</v>
      </c>
      <c r="H68" s="6">
        <f t="shared" si="29"/>
        <v>94910.790330360818</v>
      </c>
      <c r="I68" s="7">
        <f t="shared" si="30"/>
        <v>612.72557066510683</v>
      </c>
      <c r="J68" s="14">
        <f t="shared" si="31"/>
        <v>513.12190041044948</v>
      </c>
      <c r="K68">
        <v>600.68935143677163</v>
      </c>
      <c r="L68" s="8">
        <f t="shared" si="32"/>
        <v>58528.74955573777</v>
      </c>
      <c r="M68" s="6">
        <f>L68*'[1]BE Projection'!$C$7</f>
        <v>229.11709173130839</v>
      </c>
      <c r="N68" s="7">
        <f t="shared" si="33"/>
        <v>609.76584891300615</v>
      </c>
      <c r="O68" s="16"/>
    </row>
    <row r="69" spans="1:15" x14ac:dyDescent="0.25">
      <c r="A69">
        <v>65</v>
      </c>
      <c r="B69" s="1">
        <f t="shared" si="26"/>
        <v>0.60924555302947137</v>
      </c>
      <c r="C69" s="1">
        <f>'[1]BE Projection'!$J81</f>
        <v>1.0377603607895303E-2</v>
      </c>
      <c r="D69" s="1">
        <f t="shared" si="27"/>
        <v>6.3888093804899387E-3</v>
      </c>
      <c r="E69" s="19">
        <v>5.4063599999999998E-3</v>
      </c>
      <c r="F69" s="8">
        <f t="shared" si="28"/>
        <v>94910.790330360818</v>
      </c>
      <c r="G69" s="6">
        <f>F69*'[1]BE Projection'!$C$7</f>
        <v>371.5385074766296</v>
      </c>
      <c r="H69" s="6">
        <f t="shared" si="29"/>
        <v>95282.328837837442</v>
      </c>
      <c r="I69" s="7">
        <f t="shared" si="30"/>
        <v>608.74063627410283</v>
      </c>
      <c r="J69" s="14">
        <f t="shared" si="31"/>
        <v>515.13057133573079</v>
      </c>
      <c r="K69">
        <v>603.0408145554843</v>
      </c>
      <c r="L69" s="8">
        <f t="shared" si="32"/>
        <v>58148.100798556072</v>
      </c>
      <c r="M69" s="6">
        <f>L69*'[1]BE Projection'!$C$7</f>
        <v>227.62700118813777</v>
      </c>
      <c r="N69" s="7">
        <f t="shared" si="33"/>
        <v>605.80016342813963</v>
      </c>
      <c r="O69" s="16"/>
    </row>
    <row r="70" spans="1:15" x14ac:dyDescent="0.25">
      <c r="A70">
        <v>66</v>
      </c>
      <c r="B70" s="1">
        <f t="shared" si="26"/>
        <v>0.60292304418025855</v>
      </c>
      <c r="C70" s="1">
        <f>'[1]BE Projection'!$J82</f>
        <v>1.0377603607895303E-2</v>
      </c>
      <c r="D70" s="1">
        <f t="shared" si="27"/>
        <v>6.3225088492128113E-3</v>
      </c>
      <c r="E70" s="19">
        <v>5.4063599999999998E-3</v>
      </c>
      <c r="F70" s="8">
        <f t="shared" si="28"/>
        <v>95282.328837837442</v>
      </c>
      <c r="G70" s="6">
        <f>F70*'[1]BE Projection'!$C$7</f>
        <v>372.99293496645947</v>
      </c>
      <c r="H70" s="6">
        <f t="shared" si="29"/>
        <v>95655.321772803902</v>
      </c>
      <c r="I70" s="7">
        <f t="shared" si="30"/>
        <v>604.78161838285155</v>
      </c>
      <c r="J70" s="14">
        <f t="shared" si="31"/>
        <v>517.14710541961608</v>
      </c>
      <c r="K70">
        <v>605.40148272966439</v>
      </c>
      <c r="L70" s="8">
        <f t="shared" si="32"/>
        <v>57769.927636316068</v>
      </c>
      <c r="M70" s="6">
        <f>L70*'[1]BE Projection'!$C$7</f>
        <v>226.14660162790545</v>
      </c>
      <c r="N70" s="7">
        <f t="shared" si="33"/>
        <v>601.86026925545127</v>
      </c>
      <c r="O70" s="16"/>
    </row>
    <row r="71" spans="1:15" x14ac:dyDescent="0.25">
      <c r="A71">
        <v>67</v>
      </c>
      <c r="B71" s="1">
        <f t="shared" si="26"/>
        <v>0.59666614782169025</v>
      </c>
      <c r="C71" s="1">
        <f>'[1]BE Projection'!$J83</f>
        <v>1.0377603607895303E-2</v>
      </c>
      <c r="D71" s="1">
        <f t="shared" si="27"/>
        <v>6.2568963585682702E-3</v>
      </c>
      <c r="E71" s="19">
        <v>5.4063599999999998E-3</v>
      </c>
      <c r="F71" s="8">
        <f t="shared" si="28"/>
        <v>95655.321772803902</v>
      </c>
      <c r="G71" s="6">
        <f>F71*'[1]BE Projection'!$C$7</f>
        <v>374.45305596929171</v>
      </c>
      <c r="H71" s="6">
        <f t="shared" si="29"/>
        <v>96029.774828773196</v>
      </c>
      <c r="I71" s="7">
        <f t="shared" si="30"/>
        <v>600.84834844028194</v>
      </c>
      <c r="J71" s="14">
        <f t="shared" si="31"/>
        <v>519.17153344328619</v>
      </c>
      <c r="K71">
        <v>607.77139199349233</v>
      </c>
      <c r="L71" s="8">
        <f t="shared" si="32"/>
        <v>57394.213968688528</v>
      </c>
      <c r="M71" s="6">
        <f>L71*'[1]BE Projection'!$C$7</f>
        <v>224.6758300241392</v>
      </c>
      <c r="N71" s="7">
        <f t="shared" si="33"/>
        <v>597.94599865804241</v>
      </c>
      <c r="O71" s="16"/>
    </row>
    <row r="72" spans="1:15" x14ac:dyDescent="0.25">
      <c r="A72">
        <v>68</v>
      </c>
      <c r="B72" s="1">
        <f t="shared" si="26"/>
        <v>0.59047418305334687</v>
      </c>
      <c r="C72" s="1">
        <f>'[1]BE Projection'!$J84</f>
        <v>1.0377603607895303E-2</v>
      </c>
      <c r="D72" s="1">
        <f t="shared" si="27"/>
        <v>6.1919647683433649E-3</v>
      </c>
      <c r="E72" s="19">
        <v>5.4063599999999998E-3</v>
      </c>
      <c r="F72" s="8">
        <f t="shared" si="28"/>
        <v>96029.774828773196</v>
      </c>
      <c r="G72" s="6">
        <f>F72*'[1]BE Projection'!$C$7</f>
        <v>375.91889277299589</v>
      </c>
      <c r="H72" s="6">
        <f t="shared" si="29"/>
        <v>96405.693721546195</v>
      </c>
      <c r="I72" s="7">
        <f t="shared" si="30"/>
        <v>596.94065899151519</v>
      </c>
      <c r="J72" s="14">
        <f t="shared" si="31"/>
        <v>521.20388630841842</v>
      </c>
      <c r="K72">
        <v>610.15057852220798</v>
      </c>
      <c r="L72" s="8">
        <f t="shared" si="32"/>
        <v>57020.943800054629</v>
      </c>
      <c r="M72" s="6">
        <f>L72*'[1]BE Projection'!$C$7</f>
        <v>223.21462376026696</v>
      </c>
      <c r="N72" s="7">
        <f t="shared" si="33"/>
        <v>594.05718498991178</v>
      </c>
      <c r="O72" s="16"/>
    </row>
    <row r="73" spans="1:15" x14ac:dyDescent="0.25">
      <c r="A73">
        <v>69</v>
      </c>
      <c r="B73" s="1">
        <f t="shared" si="26"/>
        <v>0.58434647604092338</v>
      </c>
      <c r="C73" s="1">
        <f>'[1]BE Projection'!$J85</f>
        <v>1.0377603607895303E-2</v>
      </c>
      <c r="D73" s="1">
        <f t="shared" si="27"/>
        <v>6.1277070124234438E-3</v>
      </c>
      <c r="E73" s="19">
        <v>5.4063599999999998E-3</v>
      </c>
      <c r="F73" s="8">
        <f t="shared" si="28"/>
        <v>96405.693721546195</v>
      </c>
      <c r="G73" s="6">
        <f>F73*'[1]BE Projection'!$C$7</f>
        <v>377.39046775268997</v>
      </c>
      <c r="H73" s="6">
        <f t="shared" si="29"/>
        <v>96783.084189298883</v>
      </c>
      <c r="I73" s="7">
        <f t="shared" si="30"/>
        <v>593.05838367073534</v>
      </c>
      <c r="J73" s="14">
        <f t="shared" si="31"/>
        <v>523.24419503765785</v>
      </c>
      <c r="K73">
        <v>612.53907863266363</v>
      </c>
      <c r="L73" s="8">
        <f t="shared" si="32"/>
        <v>56650.10123882498</v>
      </c>
      <c r="M73" s="6">
        <f>L73*'[1]BE Projection'!$C$7</f>
        <v>221.76292062695103</v>
      </c>
      <c r="N73" s="7">
        <f t="shared" si="33"/>
        <v>590.19366268885994</v>
      </c>
      <c r="O73" s="16"/>
    </row>
    <row r="74" spans="1:15" x14ac:dyDescent="0.25">
      <c r="A74">
        <v>70</v>
      </c>
      <c r="B74" s="1">
        <f t="shared" si="26"/>
        <v>0.57828235994290023</v>
      </c>
      <c r="C74" s="1">
        <f>'[1]BE Projection'!$J86</f>
        <v>1.0377603607895303E-2</v>
      </c>
      <c r="D74" s="1">
        <f t="shared" si="27"/>
        <v>6.0641160980231925E-3</v>
      </c>
      <c r="E74" s="19">
        <v>5.4063599999999998E-3</v>
      </c>
      <c r="F74" s="8">
        <f t="shared" si="28"/>
        <v>96783.084189298883</v>
      </c>
      <c r="G74" s="6">
        <f>F74*'[1]BE Projection'!$C$7</f>
        <v>378.86780337108161</v>
      </c>
      <c r="H74" s="6">
        <f t="shared" si="29"/>
        <v>97161.951992669958</v>
      </c>
      <c r="I74" s="7">
        <f t="shared" si="30"/>
        <v>589.20135719410655</v>
      </c>
      <c r="J74" s="14">
        <f t="shared" si="31"/>
        <v>525.2924907750911</v>
      </c>
      <c r="K74">
        <v>614.93692878387708</v>
      </c>
      <c r="L74" s="8">
        <f t="shared" si="32"/>
        <v>56281.670496763072</v>
      </c>
      <c r="M74" s="6">
        <f>L74*'[1]BE Projection'!$C$7</f>
        <v>220.32065881943979</v>
      </c>
      <c r="N74" s="7">
        <f t="shared" si="33"/>
        <v>586.35526726944158</v>
      </c>
      <c r="O74" s="16"/>
    </row>
    <row r="75" spans="1:15" x14ac:dyDescent="0.25">
      <c r="A75">
        <v>71</v>
      </c>
      <c r="B75" s="1">
        <f t="shared" si="26"/>
        <v>0.57228117483797458</v>
      </c>
      <c r="C75" s="1">
        <f>'[1]BE Projection'!$J87</f>
        <v>1.0377603607895303E-2</v>
      </c>
      <c r="D75" s="1">
        <f t="shared" si="27"/>
        <v>6.0011851049256515E-3</v>
      </c>
      <c r="E75" s="19">
        <v>5.4063599999999998E-3</v>
      </c>
      <c r="F75" s="8">
        <f t="shared" si="28"/>
        <v>97161.951992669958</v>
      </c>
      <c r="G75" s="6">
        <f>F75*'[1]BE Projection'!$C$7</f>
        <v>380.35092217881117</v>
      </c>
      <c r="H75" s="6">
        <f t="shared" si="29"/>
        <v>97542.302914848769</v>
      </c>
      <c r="I75" s="7">
        <f t="shared" si="30"/>
        <v>585.36941535273638</v>
      </c>
      <c r="J75" s="14">
        <f t="shared" si="31"/>
        <v>527.34880478672176</v>
      </c>
      <c r="K75">
        <v>617.34416557758925</v>
      </c>
      <c r="L75" s="8">
        <f t="shared" si="32"/>
        <v>55915.635888313067</v>
      </c>
      <c r="M75" s="6">
        <f>L75*'[1]BE Projection'!$C$7</f>
        <v>218.88777693493603</v>
      </c>
      <c r="N75" s="7">
        <f t="shared" si="33"/>
        <v>582.54183531596186</v>
      </c>
      <c r="O75" s="16"/>
    </row>
    <row r="76" spans="1:15" x14ac:dyDescent="0.25">
      <c r="A76">
        <v>72</v>
      </c>
      <c r="B76" s="1">
        <f t="shared" si="26"/>
        <v>0.56634226765324547</v>
      </c>
      <c r="C76" s="1">
        <f>'[1]BE Projection'!$J88</f>
        <v>1.169662079549072E-2</v>
      </c>
      <c r="D76" s="1">
        <f t="shared" si="27"/>
        <v>6.6937558904777142E-3</v>
      </c>
      <c r="E76" s="19">
        <v>5.4063599999999998E-3</v>
      </c>
      <c r="F76" s="8">
        <f t="shared" si="28"/>
        <v>97542.302914848769</v>
      </c>
      <c r="G76" s="6">
        <f>F76*'[1]BE Projection'!$C$7</f>
        <v>381.83984681479615</v>
      </c>
      <c r="H76" s="6">
        <f t="shared" si="29"/>
        <v>97924.142761663563</v>
      </c>
      <c r="I76" s="7">
        <f t="shared" si="30"/>
        <v>655.48030743086611</v>
      </c>
      <c r="J76" s="14">
        <f t="shared" si="31"/>
        <v>529.41316846094742</v>
      </c>
      <c r="K76">
        <v>611.94505808921292</v>
      </c>
      <c r="L76" s="8">
        <f t="shared" si="32"/>
        <v>55551.98182993204</v>
      </c>
      <c r="M76" s="6">
        <f>L76*'[1]BE Projection'!$C$7</f>
        <v>217.46421396998318</v>
      </c>
      <c r="N76" s="7">
        <f t="shared" si="33"/>
        <v>652.31406235010206</v>
      </c>
      <c r="O76" s="16"/>
    </row>
    <row r="77" spans="1:15" x14ac:dyDescent="0.25">
      <c r="A77">
        <v>73</v>
      </c>
      <c r="B77" s="1">
        <f t="shared" si="26"/>
        <v>0.55971797690804714</v>
      </c>
      <c r="C77" s="1">
        <f>'[1]BE Projection'!$J89</f>
        <v>1.169662079549072E-2</v>
      </c>
      <c r="D77" s="1">
        <f t="shared" si="27"/>
        <v>6.624290745198322E-3</v>
      </c>
      <c r="E77" s="19">
        <v>5.4063599999999998E-3</v>
      </c>
      <c r="F77" s="8">
        <f t="shared" si="28"/>
        <v>97924.142761663563</v>
      </c>
      <c r="G77" s="6">
        <f>F77*'[1]BE Projection'!$C$7</f>
        <v>383.33460000657618</v>
      </c>
      <c r="H77" s="6">
        <f t="shared" si="29"/>
        <v>98307.477361670142</v>
      </c>
      <c r="I77" s="7">
        <f t="shared" si="30"/>
        <v>651.21731247070511</v>
      </c>
      <c r="J77" s="14">
        <f t="shared" si="31"/>
        <v>531.48561330903897</v>
      </c>
      <c r="K77">
        <v>614.34058288307426</v>
      </c>
      <c r="L77" s="8">
        <f t="shared" si="32"/>
        <v>55117.131981551924</v>
      </c>
      <c r="M77" s="6">
        <f>L77*'[1]BE Projection'!$C$7</f>
        <v>215.76194741966552</v>
      </c>
      <c r="N77" s="7">
        <f t="shared" si="33"/>
        <v>647.20787780429134</v>
      </c>
      <c r="O77" s="16"/>
    </row>
    <row r="78" spans="1:15" x14ac:dyDescent="0.25">
      <c r="A78">
        <v>74</v>
      </c>
      <c r="B78" s="1">
        <f t="shared" si="26"/>
        <v>0.55317116797973453</v>
      </c>
      <c r="C78" s="1">
        <f>'[1]BE Projection'!$J90</f>
        <v>1.169662079549072E-2</v>
      </c>
      <c r="D78" s="1">
        <f t="shared" si="27"/>
        <v>6.5468089283126588E-3</v>
      </c>
      <c r="E78" s="19">
        <v>5.4063599999999998E-3</v>
      </c>
      <c r="F78" s="8">
        <f t="shared" si="28"/>
        <v>98307.477361670142</v>
      </c>
      <c r="G78" s="6">
        <f>F78*'[1]BE Projection'!$C$7</f>
        <v>384.83520457066055</v>
      </c>
      <c r="H78" s="6">
        <f t="shared" si="29"/>
        <v>98692.312566240798</v>
      </c>
      <c r="I78" s="7">
        <f t="shared" si="30"/>
        <v>646.11971306448891</v>
      </c>
      <c r="J78" s="14">
        <f t="shared" si="31"/>
        <v>533.56617096562161</v>
      </c>
      <c r="K78">
        <v>616.74548521657266</v>
      </c>
      <c r="L78" s="8">
        <f t="shared" si="32"/>
        <v>54685.6860511673</v>
      </c>
      <c r="M78" s="6">
        <f>L78*'[1]BE Projection'!$C$7</f>
        <v>214.0730058728297</v>
      </c>
      <c r="N78" s="7">
        <f t="shared" si="33"/>
        <v>642.14166345400554</v>
      </c>
      <c r="O78" s="16"/>
    </row>
    <row r="79" spans="1:15" x14ac:dyDescent="0.25">
      <c r="A79">
        <v>75</v>
      </c>
      <c r="B79" s="1">
        <f t="shared" si="26"/>
        <v>0.54670093459287683</v>
      </c>
      <c r="C79" s="1">
        <f>'[1]BE Projection'!$J91</f>
        <v>1.169662079549072E-2</v>
      </c>
      <c r="D79" s="1">
        <f t="shared" si="27"/>
        <v>6.4702333868576533E-3</v>
      </c>
      <c r="E79" s="19">
        <v>5.4063599999999998E-3</v>
      </c>
      <c r="F79" s="8">
        <f t="shared" si="28"/>
        <v>98692.312566240798</v>
      </c>
      <c r="G79" s="6">
        <f>F79*'[1]BE Projection'!$C$7</f>
        <v>386.34168341287608</v>
      </c>
      <c r="H79" s="6">
        <f t="shared" si="29"/>
        <v>99078.654249653671</v>
      </c>
      <c r="I79" s="7">
        <f t="shared" si="30"/>
        <v>641.06201665103504</v>
      </c>
      <c r="J79" s="14">
        <f t="shared" si="31"/>
        <v>535.65487318915757</v>
      </c>
      <c r="K79">
        <v>619.15980179909673</v>
      </c>
      <c r="L79" s="8">
        <f t="shared" si="32"/>
        <v>54257.617393586122</v>
      </c>
      <c r="M79" s="6">
        <f>L79*'[1]BE Projection'!$C$7</f>
        <v>212.39728502400268</v>
      </c>
      <c r="N79" s="7">
        <f t="shared" si="33"/>
        <v>637.11510642051599</v>
      </c>
      <c r="O79" s="16"/>
    </row>
    <row r="80" spans="1:15" x14ac:dyDescent="0.25">
      <c r="A80">
        <v>76</v>
      </c>
      <c r="B80" s="1">
        <f t="shared" si="26"/>
        <v>0.54030638107240359</v>
      </c>
      <c r="C80" s="1">
        <f>'[1]BE Projection'!$J92</f>
        <v>1.169662079549072E-2</v>
      </c>
      <c r="D80" s="1">
        <f t="shared" si="27"/>
        <v>6.3945535204732546E-3</v>
      </c>
      <c r="E80" s="19">
        <v>5.4063599999999998E-3</v>
      </c>
      <c r="F80" s="8">
        <f t="shared" si="28"/>
        <v>99078.654249653671</v>
      </c>
      <c r="G80" s="6">
        <f>F80*'[1]BE Projection'!$C$7</f>
        <v>387.85405952871707</v>
      </c>
      <c r="H80" s="6">
        <f t="shared" si="29"/>
        <v>99466.508309182391</v>
      </c>
      <c r="I80" s="7">
        <f t="shared" si="30"/>
        <v>636.04391087766453</v>
      </c>
      <c r="J80" s="14">
        <f t="shared" si="31"/>
        <v>537.75175186243132</v>
      </c>
      <c r="K80">
        <v>621.58356948373694</v>
      </c>
      <c r="L80" s="8">
        <f t="shared" si="32"/>
        <v>53832.899572189606</v>
      </c>
      <c r="M80" s="6">
        <f>L80*'[1]BE Projection'!$C$7</f>
        <v>210.73468138419389</v>
      </c>
      <c r="N80" s="7">
        <f t="shared" si="33"/>
        <v>632.12789627424593</v>
      </c>
      <c r="O80" s="16"/>
    </row>
    <row r="81" spans="1:15" x14ac:dyDescent="0.25">
      <c r="A81">
        <v>77</v>
      </c>
      <c r="B81" s="1">
        <f t="shared" si="26"/>
        <v>0.53398662221961579</v>
      </c>
      <c r="C81" s="1">
        <f>'[1]BE Projection'!$J93</f>
        <v>1.169662079549072E-2</v>
      </c>
      <c r="D81" s="1">
        <f t="shared" si="27"/>
        <v>6.3197588527878091E-3</v>
      </c>
      <c r="E81" s="19">
        <v>5.4063599999999998E-3</v>
      </c>
      <c r="F81" s="8">
        <f t="shared" si="28"/>
        <v>99466.508309182391</v>
      </c>
      <c r="G81" s="6">
        <f>F81*'[1]BE Projection'!$C$7</f>
        <v>389.37235600369598</v>
      </c>
      <c r="H81" s="6">
        <f t="shared" si="29"/>
        <v>99855.88066518608</v>
      </c>
      <c r="I81" s="7">
        <f t="shared" si="30"/>
        <v>631.06508583673269</v>
      </c>
      <c r="J81" s="14">
        <f t="shared" si="31"/>
        <v>539.85683899303535</v>
      </c>
      <c r="K81">
        <v>624.01682526785032</v>
      </c>
      <c r="L81" s="8">
        <f t="shared" si="32"/>
        <v>53411.506357299557</v>
      </c>
      <c r="M81" s="6">
        <f>L81*'[1]BE Projection'!$C$7</f>
        <v>209.08509227450398</v>
      </c>
      <c r="N81" s="7">
        <f t="shared" si="33"/>
        <v>627.17972501559984</v>
      </c>
      <c r="O81" s="16"/>
    </row>
    <row r="82" spans="1:15" x14ac:dyDescent="0.25">
      <c r="A82">
        <v>78</v>
      </c>
      <c r="B82" s="1">
        <f t="shared" si="26"/>
        <v>0.52774078318964801</v>
      </c>
      <c r="C82" s="1">
        <f>'[1]BE Projection'!$J94</f>
        <v>1.169662079549072E-2</v>
      </c>
      <c r="D82" s="1">
        <f t="shared" si="27"/>
        <v>6.2458390299678047E-3</v>
      </c>
      <c r="E82" s="19">
        <v>5.4063599999999998E-3</v>
      </c>
      <c r="F82" s="8">
        <f t="shared" si="28"/>
        <v>99855.88066518608</v>
      </c>
      <c r="G82" s="6">
        <f>F82*'[1]BE Projection'!$C$7</f>
        <v>390.89659601369613</v>
      </c>
      <c r="H82" s="6">
        <f t="shared" si="29"/>
        <v>100246.77726119978</v>
      </c>
      <c r="I82" s="7">
        <f t="shared" si="30"/>
        <v>626.12523404649062</v>
      </c>
      <c r="J82" s="14">
        <f t="shared" si="31"/>
        <v>541.97016671386007</v>
      </c>
      <c r="K82">
        <v>626.4596062936231</v>
      </c>
      <c r="L82" s="8">
        <f t="shared" si="32"/>
        <v>52993.411724558457</v>
      </c>
      <c r="M82" s="6">
        <f>L82*'[1]BE Projection'!$C$7</f>
        <v>207.44841581978343</v>
      </c>
      <c r="N82" s="7">
        <f t="shared" si="33"/>
        <v>622.27028705594148</v>
      </c>
      <c r="O82" s="16"/>
    </row>
    <row r="83" spans="1:15" x14ac:dyDescent="0.25">
      <c r="A83">
        <v>79</v>
      </c>
      <c r="B83" s="1">
        <f t="shared" si="26"/>
        <v>0.52156799937036347</v>
      </c>
      <c r="C83" s="1">
        <f>'[1]BE Projection'!$J95</f>
        <v>1.169662079549072E-2</v>
      </c>
      <c r="D83" s="1">
        <f t="shared" si="27"/>
        <v>6.1727838192845962E-3</v>
      </c>
      <c r="E83" s="19">
        <v>5.4063599999999998E-3</v>
      </c>
      <c r="F83" s="8">
        <f t="shared" si="28"/>
        <v>100246.77726119978</v>
      </c>
      <c r="G83" s="6">
        <f>F83*'[1]BE Projection'!$C$7</f>
        <v>392.4268028253253</v>
      </c>
      <c r="H83" s="6">
        <f t="shared" si="29"/>
        <v>100639.20406402511</v>
      </c>
      <c r="I83" s="7">
        <f t="shared" si="30"/>
        <v>621.22405043209471</v>
      </c>
      <c r="J83" s="14">
        <f t="shared" si="31"/>
        <v>544.09176728358273</v>
      </c>
      <c r="K83">
        <v>628.91194984863921</v>
      </c>
      <c r="L83" s="8">
        <f t="shared" si="32"/>
        <v>52578.589853322293</v>
      </c>
      <c r="M83" s="6">
        <f>L83*'[1]BE Projection'!$C$7</f>
        <v>205.82455094234132</v>
      </c>
      <c r="N83" s="7">
        <f t="shared" si="33"/>
        <v>617.39927919872162</v>
      </c>
      <c r="O83" s="16"/>
    </row>
    <row r="84" spans="1:15" x14ac:dyDescent="0.25">
      <c r="A84">
        <v>80</v>
      </c>
      <c r="B84" s="1">
        <f t="shared" si="26"/>
        <v>0.51546741626266557</v>
      </c>
      <c r="C84" s="1">
        <f>'[1]BE Projection'!$J96</f>
        <v>1.169662079549072E-2</v>
      </c>
      <c r="D84" s="1">
        <f t="shared" si="27"/>
        <v>6.1005831076978842E-3</v>
      </c>
      <c r="E84" s="19">
        <v>5.4063599999999998E-3</v>
      </c>
      <c r="F84" s="8">
        <f t="shared" si="28"/>
        <v>100639.20406402511</v>
      </c>
      <c r="G84" s="6">
        <f>F84*'[1]BE Projection'!$C$7</f>
        <v>393.96299979627082</v>
      </c>
      <c r="H84" s="6">
        <f t="shared" si="29"/>
        <v>101033.16706382138</v>
      </c>
      <c r="I84" s="7">
        <f t="shared" si="30"/>
        <v>616.36123230676696</v>
      </c>
      <c r="J84" s="14">
        <f t="shared" si="31"/>
        <v>546.22167308716132</v>
      </c>
      <c r="K84">
        <v>631.37389336644833</v>
      </c>
      <c r="L84" s="8">
        <f t="shared" si="32"/>
        <v>52167.015125065918</v>
      </c>
      <c r="M84" s="6">
        <f>L84*'[1]BE Projection'!$C$7</f>
        <v>204.21339735570263</v>
      </c>
      <c r="N84" s="7">
        <f t="shared" si="33"/>
        <v>612.56640062075337</v>
      </c>
      <c r="O84" s="16"/>
    </row>
    <row r="85" spans="1:15" x14ac:dyDescent="0.25">
      <c r="A85">
        <v>81</v>
      </c>
      <c r="B85" s="1">
        <f t="shared" si="26"/>
        <v>0.50943818936220975</v>
      </c>
      <c r="C85" s="1">
        <f>'[1]BE Projection'!$J97</f>
        <v>1.169662079549072E-2</v>
      </c>
      <c r="D85" s="1">
        <f t="shared" si="27"/>
        <v>6.029226900455765E-3</v>
      </c>
      <c r="E85" s="19">
        <v>5.4063599999999998E-3</v>
      </c>
      <c r="F85" s="8">
        <f t="shared" si="28"/>
        <v>101033.16706382138</v>
      </c>
      <c r="G85" s="6">
        <f>F85*'[1]BE Projection'!$C$7</f>
        <v>395.50521037565636</v>
      </c>
      <c r="H85" s="6">
        <f t="shared" si="29"/>
        <v>101428.67227419704</v>
      </c>
      <c r="I85" s="7">
        <f t="shared" si="30"/>
        <v>611.53647935310062</v>
      </c>
      <c r="J85" s="14">
        <f t="shared" si="31"/>
        <v>548.35991663632797</v>
      </c>
      <c r="K85">
        <v>633.84547442713824</v>
      </c>
      <c r="L85" s="8">
        <f t="shared" si="32"/>
        <v>51758.662121800866</v>
      </c>
      <c r="M85" s="6">
        <f>L85*'[1]BE Projection'!$C$7</f>
        <v>202.61485555841486</v>
      </c>
      <c r="N85" s="7">
        <f t="shared" si="33"/>
        <v>607.77135285363374</v>
      </c>
      <c r="O85" s="16"/>
    </row>
    <row r="86" spans="1:15" x14ac:dyDescent="0.25">
      <c r="A86">
        <v>82</v>
      </c>
      <c r="B86" s="1">
        <f t="shared" si="26"/>
        <v>0.50347948404249854</v>
      </c>
      <c r="C86" s="1">
        <f>'[1]BE Projection'!$J98</f>
        <v>1.169662079549072E-2</v>
      </c>
      <c r="D86" s="1">
        <f t="shared" si="27"/>
        <v>5.958705319711162E-3</v>
      </c>
      <c r="E86" s="19">
        <v>5.4063599999999998E-3</v>
      </c>
      <c r="F86" s="8">
        <f t="shared" si="28"/>
        <v>101428.67227419704</v>
      </c>
      <c r="G86" s="6">
        <f>F86*'[1]BE Projection'!$C$7</f>
        <v>397.05345810439957</v>
      </c>
      <c r="H86" s="6">
        <f t="shared" si="29"/>
        <v>101825.72573230145</v>
      </c>
      <c r="I86" s="7">
        <f t="shared" si="30"/>
        <v>606.74949360451444</v>
      </c>
      <c r="J86" s="14">
        <f t="shared" si="31"/>
        <v>550.50653057008526</v>
      </c>
      <c r="K86">
        <v>636.32673075790785</v>
      </c>
      <c r="L86" s="8">
        <f t="shared" si="32"/>
        <v>51353.505624505648</v>
      </c>
      <c r="M86" s="6">
        <f>L86*'[1]BE Projection'!$C$7</f>
        <v>201.02882682790317</v>
      </c>
      <c r="N86" s="7">
        <f t="shared" si="33"/>
        <v>603.01383976531076</v>
      </c>
      <c r="O86" s="16"/>
    </row>
    <row r="87" spans="1:15" x14ac:dyDescent="0.25">
      <c r="A87">
        <v>83</v>
      </c>
      <c r="B87" s="1">
        <f t="shared" si="26"/>
        <v>0.49759047543934409</v>
      </c>
      <c r="C87" s="1">
        <f>'[1]BE Projection'!$J99</f>
        <v>1.169662079549072E-2</v>
      </c>
      <c r="D87" s="1">
        <f t="shared" si="27"/>
        <v>5.889008603154426E-3</v>
      </c>
      <c r="E87" s="19">
        <v>5.4063599999999998E-3</v>
      </c>
      <c r="F87" s="8">
        <f t="shared" si="28"/>
        <v>101825.72573230145</v>
      </c>
      <c r="G87" s="6">
        <f>F87*'[1]BE Projection'!$C$7</f>
        <v>398.60776661557162</v>
      </c>
      <c r="H87" s="6">
        <f t="shared" si="29"/>
        <v>102224.33349891703</v>
      </c>
      <c r="I87" s="7">
        <f t="shared" si="30"/>
        <v>601.99997942684956</v>
      </c>
      <c r="J87" s="14">
        <f t="shared" si="31"/>
        <v>552.66154765520503</v>
      </c>
      <c r="K87">
        <v>638.81770023364311</v>
      </c>
      <c r="L87" s="8">
        <f t="shared" si="32"/>
        <v>50951.520611568238</v>
      </c>
      <c r="M87" s="6">
        <f>L87*'[1]BE Projection'!$C$7</f>
        <v>199.45521321437326</v>
      </c>
      <c r="N87" s="7">
        <f t="shared" si="33"/>
        <v>598.29356754179537</v>
      </c>
      <c r="O87" s="16"/>
    </row>
    <row r="88" spans="1:15" x14ac:dyDescent="0.25">
      <c r="A88">
        <v>84</v>
      </c>
      <c r="B88" s="1">
        <f t="shared" si="26"/>
        <v>0.49177034833668215</v>
      </c>
      <c r="C88" s="1">
        <f>'[1]BE Projection'!$J100</f>
        <v>1.3149935057606088E-2</v>
      </c>
      <c r="D88" s="1">
        <f t="shared" si="27"/>
        <v>6.543282437310712E-3</v>
      </c>
      <c r="E88" s="19">
        <v>5.4063599999999998E-3</v>
      </c>
      <c r="F88" s="8">
        <f t="shared" si="28"/>
        <v>102224.33349891703</v>
      </c>
      <c r="G88" s="6">
        <f>F88*'[1]BE Projection'!$C$7</f>
        <v>400.16815963475784</v>
      </c>
      <c r="H88" s="6">
        <f t="shared" si="29"/>
        <v>102624.50165855179</v>
      </c>
      <c r="I88" s="7">
        <f t="shared" si="30"/>
        <v>671.50109934016598</v>
      </c>
      <c r="J88" s="14">
        <f t="shared" si="31"/>
        <v>554.82500078672797</v>
      </c>
      <c r="K88">
        <v>621.1555442152345</v>
      </c>
      <c r="L88" s="8">
        <f t="shared" si="32"/>
        <v>50552.682257240813</v>
      </c>
      <c r="M88" s="6">
        <f>L88*'[1]BE Projection'!$C$7</f>
        <v>197.89391753476238</v>
      </c>
      <c r="N88" s="7">
        <f t="shared" si="33"/>
        <v>667.3667808343896</v>
      </c>
      <c r="O88" s="16"/>
    </row>
    <row r="89" spans="1:15" x14ac:dyDescent="0.25">
      <c r="A89">
        <v>85</v>
      </c>
      <c r="B89" s="1">
        <f t="shared" si="26"/>
        <v>0.48530360019279845</v>
      </c>
      <c r="C89" s="1">
        <f>'[1]BE Projection'!$J101</f>
        <v>1.3149935057606088E-2</v>
      </c>
      <c r="D89" s="1">
        <f t="shared" si="27"/>
        <v>6.4667481438836945E-3</v>
      </c>
      <c r="E89" s="19">
        <v>5.4063599999999998E-3</v>
      </c>
      <c r="F89" s="8">
        <f t="shared" si="28"/>
        <v>102624.50165855179</v>
      </c>
      <c r="G89" s="6">
        <f>F89*'[1]BE Projection'!$C$7</f>
        <v>401.73466098042002</v>
      </c>
      <c r="H89" s="6">
        <f t="shared" si="29"/>
        <v>103026.23631953221</v>
      </c>
      <c r="I89" s="7">
        <f t="shared" si="30"/>
        <v>666.24472249065775</v>
      </c>
      <c r="J89" s="14">
        <f t="shared" si="31"/>
        <v>556.99692298846617</v>
      </c>
      <c r="K89">
        <v>623.58712444836556</v>
      </c>
      <c r="L89" s="8">
        <f t="shared" si="32"/>
        <v>50083.209393941186</v>
      </c>
      <c r="M89" s="6">
        <f>L89*'[1]BE Projection'!$C$7</f>
        <v>196.05611546479767</v>
      </c>
      <c r="N89" s="7">
        <f t="shared" si="33"/>
        <v>661.16907619282233</v>
      </c>
      <c r="O89" s="16"/>
    </row>
    <row r="90" spans="1:15" x14ac:dyDescent="0.25">
      <c r="A90">
        <v>86</v>
      </c>
      <c r="B90" s="1">
        <f t="shared" si="26"/>
        <v>0.47892188936704072</v>
      </c>
      <c r="C90" s="1">
        <f>'[1]BE Projection'!$J102</f>
        <v>1.3149935057606088E-2</v>
      </c>
      <c r="D90" s="1">
        <f t="shared" si="27"/>
        <v>6.3817108257577292E-3</v>
      </c>
      <c r="E90" s="19">
        <v>5.4063599999999998E-3</v>
      </c>
      <c r="F90" s="8">
        <f t="shared" si="28"/>
        <v>103026.23631953221</v>
      </c>
      <c r="G90" s="6">
        <f>F90*'[1]BE Projection'!$C$7</f>
        <v>403.30729456425973</v>
      </c>
      <c r="H90" s="6">
        <f t="shared" si="29"/>
        <v>103429.54361409647</v>
      </c>
      <c r="I90" s="7">
        <f t="shared" si="30"/>
        <v>660.05743818526071</v>
      </c>
      <c r="J90" s="14">
        <f t="shared" si="31"/>
        <v>559.1773474135066</v>
      </c>
      <c r="K90">
        <v>626.02822336403165</v>
      </c>
      <c r="L90" s="8">
        <f t="shared" si="32"/>
        <v>49618.096433213155</v>
      </c>
      <c r="M90" s="6">
        <f>L90*'[1]BE Projection'!$C$7</f>
        <v>194.23538070286565</v>
      </c>
      <c r="N90" s="7">
        <f t="shared" si="33"/>
        <v>655.02892842092126</v>
      </c>
      <c r="O90" s="16"/>
    </row>
    <row r="91" spans="1:15" x14ac:dyDescent="0.25">
      <c r="A91">
        <v>87</v>
      </c>
      <c r="B91" s="1">
        <f t="shared" si="26"/>
        <v>0.4726240976241981</v>
      </c>
      <c r="C91" s="1">
        <f>'[1]BE Projection'!$J103</f>
        <v>1.3149935057606088E-2</v>
      </c>
      <c r="D91" s="1">
        <f t="shared" si="27"/>
        <v>6.2977917428425935E-3</v>
      </c>
      <c r="E91" s="19">
        <v>5.4063599999999998E-3</v>
      </c>
      <c r="F91" s="8">
        <f t="shared" si="28"/>
        <v>103429.54361409647</v>
      </c>
      <c r="G91" s="6">
        <f>F91*'[1]BE Projection'!$C$7</f>
        <v>404.88608439158361</v>
      </c>
      <c r="H91" s="6">
        <f t="shared" si="29"/>
        <v>103834.42969848806</v>
      </c>
      <c r="I91" s="7">
        <f t="shared" si="30"/>
        <v>653.92761397790787</v>
      </c>
      <c r="J91" s="14">
        <f t="shared" si="31"/>
        <v>561.36630734471794</v>
      </c>
      <c r="K91">
        <v>628.47887822413986</v>
      </c>
      <c r="L91" s="8">
        <f t="shared" si="32"/>
        <v>49157.302885495097</v>
      </c>
      <c r="M91" s="6">
        <f>L91*'[1]BE Projection'!$C$7</f>
        <v>192.43155474821799</v>
      </c>
      <c r="N91" s="7">
        <f t="shared" si="33"/>
        <v>648.94580299930612</v>
      </c>
      <c r="O91" s="16"/>
    </row>
    <row r="92" spans="1:15" x14ac:dyDescent="0.25">
      <c r="A92">
        <v>88</v>
      </c>
      <c r="B92" s="1">
        <f t="shared" si="26"/>
        <v>0.46640912143378022</v>
      </c>
      <c r="C92" s="1">
        <f>'[1]BE Projection'!$J104</f>
        <v>1.3149935057606088E-2</v>
      </c>
      <c r="D92" s="1">
        <f t="shared" si="27"/>
        <v>6.2149761904178851E-3</v>
      </c>
      <c r="E92" s="19">
        <v>5.4063599999999998E-3</v>
      </c>
      <c r="F92" s="8">
        <f t="shared" si="28"/>
        <v>103834.42969848806</v>
      </c>
      <c r="G92" s="6">
        <f>F92*'[1]BE Projection'!$C$7</f>
        <v>406.47105456166963</v>
      </c>
      <c r="H92" s="6">
        <f t="shared" si="29"/>
        <v>104240.90075304973</v>
      </c>
      <c r="I92" s="7">
        <f t="shared" si="30"/>
        <v>647.85471624791785</v>
      </c>
      <c r="J92" s="14">
        <f t="shared" si="31"/>
        <v>563.56383619525798</v>
      </c>
      <c r="K92">
        <v>630.93912643646308</v>
      </c>
      <c r="L92" s="8">
        <f t="shared" si="32"/>
        <v>48700.788637244012</v>
      </c>
      <c r="M92" s="6">
        <f>L92*'[1]BE Projection'!$C$7</f>
        <v>190.64448057207167</v>
      </c>
      <c r="N92" s="7">
        <f t="shared" si="33"/>
        <v>642.91917037257303</v>
      </c>
      <c r="O92" s="16"/>
    </row>
    <row r="93" spans="1:15" x14ac:dyDescent="0.25">
      <c r="A93">
        <v>89</v>
      </c>
      <c r="B93" s="1">
        <f t="shared" si="26"/>
        <v>0.46027587177665091</v>
      </c>
      <c r="C93" s="1">
        <f>'[1]BE Projection'!$J105</f>
        <v>1.3149935057606088E-2</v>
      </c>
      <c r="D93" s="1">
        <f t="shared" si="27"/>
        <v>6.1332496571293218E-3</v>
      </c>
      <c r="E93" s="19">
        <v>5.4063599999999998E-3</v>
      </c>
      <c r="F93" s="8">
        <f t="shared" si="28"/>
        <v>104240.90075304973</v>
      </c>
      <c r="G93" s="6">
        <f>F93*'[1]BE Projection'!$C$7</f>
        <v>408.06222926813484</v>
      </c>
      <c r="H93" s="6">
        <f t="shared" si="29"/>
        <v>104648.96298231787</v>
      </c>
      <c r="I93" s="7">
        <f t="shared" si="30"/>
        <v>641.83821633024013</v>
      </c>
      <c r="J93" s="14">
        <f t="shared" si="31"/>
        <v>565.76996750908404</v>
      </c>
      <c r="K93">
        <v>633.40900555521137</v>
      </c>
      <c r="L93" s="8">
        <f t="shared" si="32"/>
        <v>48248.513947443513</v>
      </c>
      <c r="M93" s="6">
        <f>L93*'[1]BE Projection'!$C$7</f>
        <v>188.87400260393932</v>
      </c>
      <c r="N93" s="7">
        <f t="shared" si="33"/>
        <v>636.94850590319561</v>
      </c>
      <c r="O93" s="16"/>
    </row>
    <row r="94" spans="1:15" x14ac:dyDescent="0.25">
      <c r="A94">
        <v>90</v>
      </c>
      <c r="B94" s="1">
        <f t="shared" si="26"/>
        <v>0.45422327395420492</v>
      </c>
      <c r="C94" s="1">
        <f>'[1]BE Projection'!$J106</f>
        <v>1.3149935057606088E-2</v>
      </c>
      <c r="D94" s="1">
        <f t="shared" si="27"/>
        <v>6.0525978224459862E-3</v>
      </c>
      <c r="E94" s="19">
        <v>5.4063599999999998E-3</v>
      </c>
      <c r="F94" s="8">
        <f t="shared" si="28"/>
        <v>104648.96298231787</v>
      </c>
      <c r="G94" s="6">
        <f>F94*'[1]BE Projection'!$C$7</f>
        <v>409.65963279930503</v>
      </c>
      <c r="H94" s="6">
        <f t="shared" si="29"/>
        <v>105058.62261511717</v>
      </c>
      <c r="I94" s="7">
        <f t="shared" si="30"/>
        <v>635.87759046943279</v>
      </c>
      <c r="J94" s="14">
        <f t="shared" si="31"/>
        <v>567.98473496146482</v>
      </c>
      <c r="K94">
        <v>635.88855328160446</v>
      </c>
      <c r="L94" s="8">
        <f t="shared" si="32"/>
        <v>47800.439444144256</v>
      </c>
      <c r="M94" s="6">
        <f>L94*'[1]BE Projection'!$C$7</f>
        <v>187.11996671808618</v>
      </c>
      <c r="N94" s="7">
        <f t="shared" si="33"/>
        <v>631.03328982585367</v>
      </c>
      <c r="O94" s="16"/>
    </row>
    <row r="95" spans="1:15" x14ac:dyDescent="0.25">
      <c r="A95">
        <v>91</v>
      </c>
      <c r="B95" s="1">
        <f t="shared" si="26"/>
        <v>0.44825026740005391</v>
      </c>
      <c r="C95" s="1">
        <f>'[1]BE Projection'!$J107</f>
        <v>1.3149935057606088E-2</v>
      </c>
      <c r="D95" s="1">
        <f t="shared" si="27"/>
        <v>5.9730065541510136E-3</v>
      </c>
      <c r="E95" s="19">
        <v>5.4063599999999998E-3</v>
      </c>
      <c r="F95" s="8">
        <f t="shared" si="28"/>
        <v>105058.62261511717</v>
      </c>
      <c r="G95" s="6">
        <f>F95*'[1]BE Projection'!$C$7</f>
        <v>411.26328953858501</v>
      </c>
      <c r="H95" s="6">
        <f t="shared" si="29"/>
        <v>105469.88590465576</v>
      </c>
      <c r="I95" s="7">
        <f t="shared" si="30"/>
        <v>629.97231977406852</v>
      </c>
      <c r="J95" s="14">
        <f t="shared" si="31"/>
        <v>570.20817235949471</v>
      </c>
      <c r="K95">
        <v>638.37780746444753</v>
      </c>
      <c r="L95" s="8">
        <f t="shared" si="32"/>
        <v>47356.526121036484</v>
      </c>
      <c r="M95" s="6">
        <f>L95*'[1]BE Projection'!$C$7</f>
        <v>185.38222022011297</v>
      </c>
      <c r="N95" s="7">
        <f t="shared" si="33"/>
        <v>625.17300720218543</v>
      </c>
      <c r="O95" s="16"/>
    </row>
    <row r="96" spans="1:15" x14ac:dyDescent="0.25">
      <c r="A96">
        <v>92</v>
      </c>
      <c r="B96" s="1">
        <f t="shared" si="26"/>
        <v>0.44235580549418863</v>
      </c>
      <c r="C96" s="1">
        <f>'[1]BE Projection'!$J108</f>
        <v>1.3149935057606088E-2</v>
      </c>
      <c r="D96" s="1">
        <f t="shared" si="27"/>
        <v>5.8944619058652727E-3</v>
      </c>
      <c r="E96" s="19">
        <v>5.4063599999999998E-3</v>
      </c>
      <c r="F96" s="8">
        <f t="shared" si="28"/>
        <v>105469.88590465576</v>
      </c>
      <c r="G96" s="6">
        <f>F96*'[1]BE Projection'!$C$7</f>
        <v>412.87322396483137</v>
      </c>
      <c r="H96" s="6">
        <f t="shared" si="29"/>
        <v>105882.7591286206</v>
      </c>
      <c r="I96" s="7">
        <f t="shared" si="30"/>
        <v>624.12189017156254</v>
      </c>
      <c r="J96" s="14">
        <f t="shared" si="31"/>
        <v>572.44031364260923</v>
      </c>
      <c r="K96">
        <v>640.87680610070902</v>
      </c>
      <c r="L96" s="8">
        <f t="shared" si="32"/>
        <v>46916.735334054414</v>
      </c>
      <c r="M96" s="6">
        <f>L96*'[1]BE Projection'!$C$7</f>
        <v>183.66061183366358</v>
      </c>
      <c r="N96" s="7">
        <f t="shared" si="33"/>
        <v>619.36714787596134</v>
      </c>
      <c r="O96" s="16"/>
    </row>
    <row r="97" spans="1:15" x14ac:dyDescent="0.25">
      <c r="A97">
        <v>93</v>
      </c>
      <c r="B97" s="1">
        <f t="shared" si="26"/>
        <v>0.43653885537958503</v>
      </c>
      <c r="C97" s="1">
        <f>'[1]BE Projection'!$J109</f>
        <v>1.3149935057606088E-2</v>
      </c>
      <c r="D97" s="1">
        <f t="shared" si="27"/>
        <v>5.8169501146036109E-3</v>
      </c>
      <c r="E97" s="19">
        <v>5.4063599999999998E-3</v>
      </c>
      <c r="F97" s="8">
        <f t="shared" si="28"/>
        <v>105882.7591286206</v>
      </c>
      <c r="G97" s="6">
        <f>F97*'[1]BE Projection'!$C$7</f>
        <v>414.48946065272554</v>
      </c>
      <c r="H97" s="6">
        <f t="shared" si="29"/>
        <v>106297.24858927332</v>
      </c>
      <c r="I97" s="7">
        <f t="shared" si="30"/>
        <v>618.32579236342201</v>
      </c>
      <c r="J97" s="14">
        <f t="shared" si="31"/>
        <v>574.68119288310368</v>
      </c>
      <c r="K97">
        <v>643.3855873361008</v>
      </c>
      <c r="L97" s="8">
        <f t="shared" si="32"/>
        <v>46481.028798012114</v>
      </c>
      <c r="M97" s="6">
        <f>L97*'[1]BE Projection'!$C$7</f>
        <v>181.95499168725559</v>
      </c>
      <c r="N97" s="7">
        <f t="shared" si="33"/>
        <v>613.61520642867231</v>
      </c>
      <c r="O97" s="16"/>
    </row>
    <row r="98" spans="1:15" x14ac:dyDescent="0.25">
      <c r="A98">
        <v>94</v>
      </c>
      <c r="B98" s="1">
        <f t="shared" si="26"/>
        <v>0.43079839778122181</v>
      </c>
      <c r="C98" s="1">
        <f>'[1]BE Projection'!$J110</f>
        <v>1.3149935057606088E-2</v>
      </c>
      <c r="D98" s="1">
        <f t="shared" si="27"/>
        <v>5.7404575983632392E-3</v>
      </c>
      <c r="E98" s="19">
        <v>5.4063599999999998E-3</v>
      </c>
      <c r="F98" s="8">
        <f t="shared" si="28"/>
        <v>106297.24858927332</v>
      </c>
      <c r="G98" s="6">
        <f>F98*'[1]BE Projection'!$C$7</f>
        <v>416.11202427314925</v>
      </c>
      <c r="H98" s="6">
        <f t="shared" si="29"/>
        <v>106713.36061354648</v>
      </c>
      <c r="I98" s="7">
        <f t="shared" si="30"/>
        <v>612.58352178090934</v>
      </c>
      <c r="J98" s="14">
        <f t="shared" si="31"/>
        <v>576.93084428665315</v>
      </c>
      <c r="K98">
        <v>645.9041894656599</v>
      </c>
      <c r="L98" s="8">
        <f t="shared" si="32"/>
        <v>46049.368583270698</v>
      </c>
      <c r="M98" s="6">
        <f>L98*'[1]BE Projection'!$C$7</f>
        <v>180.26521130123382</v>
      </c>
      <c r="N98" s="7">
        <f t="shared" si="33"/>
        <v>607.91668213553271</v>
      </c>
      <c r="O98" s="16"/>
    </row>
    <row r="99" spans="1:15" x14ac:dyDescent="0.25">
      <c r="A99">
        <v>95</v>
      </c>
      <c r="B99" s="1">
        <f t="shared" si="26"/>
        <v>0.42513342682747801</v>
      </c>
      <c r="C99" s="1">
        <f>'[1]BE Projection'!$J111</f>
        <v>1.3149935057606088E-2</v>
      </c>
      <c r="D99" s="1">
        <f t="shared" si="27"/>
        <v>5.6649709537438218E-3</v>
      </c>
      <c r="E99" s="19">
        <v>5.4063599999999998E-3</v>
      </c>
      <c r="F99" s="8">
        <f t="shared" si="28"/>
        <v>106713.36061354648</v>
      </c>
      <c r="G99" s="6">
        <f>F99*'[1]BE Projection'!$C$7</f>
        <v>417.74093959356117</v>
      </c>
      <c r="H99" s="6">
        <f t="shared" si="29"/>
        <v>107131.10155314005</v>
      </c>
      <c r="I99" s="7">
        <f t="shared" si="30"/>
        <v>606.89457854111799</v>
      </c>
      <c r="J99" s="14">
        <f t="shared" si="31"/>
        <v>579.18930219283425</v>
      </c>
      <c r="K99">
        <v>648.43265093433365</v>
      </c>
      <c r="L99" s="8">
        <f t="shared" si="32"/>
        <v>45621.717112436403</v>
      </c>
      <c r="M99" s="6">
        <f>L99*'[1]BE Projection'!$C$7</f>
        <v>178.59112357484457</v>
      </c>
      <c r="N99" s="7">
        <f t="shared" si="33"/>
        <v>602.27107892188917</v>
      </c>
      <c r="O99" s="16"/>
    </row>
    <row r="100" spans="1:15" x14ac:dyDescent="0.25">
      <c r="A100">
        <v>96</v>
      </c>
      <c r="B100" s="1">
        <f t="shared" si="26"/>
        <v>0.41954294987387913</v>
      </c>
      <c r="C100" s="1">
        <f>'[1]BE Projection'!$J112</f>
        <v>1.4759352897616984E-2</v>
      </c>
      <c r="D100" s="1">
        <f t="shared" si="27"/>
        <v>6.2746942751199753E-3</v>
      </c>
      <c r="E100" s="19">
        <v>5.4063599999999998E-3</v>
      </c>
      <c r="F100" s="8">
        <f t="shared" si="28"/>
        <v>107131.10155314005</v>
      </c>
      <c r="G100" s="6">
        <f>F100*'[1]BE Projection'!$C$7</f>
        <v>419.37623147837473</v>
      </c>
      <c r="H100" s="6">
        <f t="shared" si="29"/>
        <v>107550.47778461843</v>
      </c>
      <c r="I100" s="7">
        <f t="shared" si="30"/>
        <v>674.84636724156337</v>
      </c>
      <c r="J100" s="14">
        <f t="shared" si="31"/>
        <v>581.4566010756497</v>
      </c>
      <c r="K100">
        <v>617.93017941682365</v>
      </c>
      <c r="L100" s="8">
        <f t="shared" si="32"/>
        <v>45198.037157089355</v>
      </c>
      <c r="M100" s="6">
        <f>L100*'[1]BE Projection'!$C$7</f>
        <v>176.93258277343</v>
      </c>
      <c r="N100" s="7">
        <f t="shared" si="33"/>
        <v>669.70519110932673</v>
      </c>
      <c r="O100" s="16"/>
    </row>
    <row r="101" spans="1:15" x14ac:dyDescent="0.25">
      <c r="A101">
        <v>97</v>
      </c>
      <c r="B101" s="1">
        <f t="shared" si="26"/>
        <v>0.41335076742098331</v>
      </c>
      <c r="C101" s="1">
        <f>'[1]BE Projection'!$J113</f>
        <v>1.4759352897616984E-2</v>
      </c>
      <c r="D101" s="1">
        <f t="shared" si="27"/>
        <v>6.1921824528958155E-3</v>
      </c>
      <c r="E101" s="19">
        <v>5.4063599999999998E-3</v>
      </c>
      <c r="F101" s="8">
        <f t="shared" si="28"/>
        <v>107550.47778461843</v>
      </c>
      <c r="G101" s="6">
        <f>F101*'[1]BE Projection'!$C$7</f>
        <v>421.01792488933779</v>
      </c>
      <c r="H101" s="6">
        <f t="shared" si="29"/>
        <v>107971.49570950777</v>
      </c>
      <c r="I101" s="7">
        <f t="shared" si="30"/>
        <v>668.57920114532988</v>
      </c>
      <c r="J101" s="14">
        <f t="shared" si="31"/>
        <v>583.73277554405445</v>
      </c>
      <c r="K101">
        <v>620.3491336123036</v>
      </c>
      <c r="L101" s="8">
        <f t="shared" si="32"/>
        <v>44705.264548753454</v>
      </c>
      <c r="M101" s="6">
        <f>L101*'[1]BE Projection'!$C$7</f>
        <v>175.00357134291491</v>
      </c>
      <c r="N101" s="7">
        <f t="shared" si="33"/>
        <v>662.40371532417157</v>
      </c>
      <c r="O101" s="16"/>
    </row>
    <row r="102" spans="1:15" x14ac:dyDescent="0.25">
      <c r="A102">
        <v>98</v>
      </c>
      <c r="B102" s="1">
        <f t="shared" si="26"/>
        <v>0.40724997757411624</v>
      </c>
      <c r="C102" s="1">
        <f>'[1]BE Projection'!$J114</f>
        <v>1.4759352897616984E-2</v>
      </c>
      <c r="D102" s="1">
        <f t="shared" si="27"/>
        <v>6.1007898468670944E-3</v>
      </c>
      <c r="E102" s="19">
        <v>5.4063599999999998E-3</v>
      </c>
      <c r="F102" s="8">
        <f t="shared" si="28"/>
        <v>107971.49570950777</v>
      </c>
      <c r="G102" s="6">
        <f>F102*'[1]BE Projection'!$C$7</f>
        <v>422.66604488591372</v>
      </c>
      <c r="H102" s="6">
        <f t="shared" si="29"/>
        <v>108394.16175439369</v>
      </c>
      <c r="I102" s="7">
        <f t="shared" si="30"/>
        <v>661.29000149087449</v>
      </c>
      <c r="J102" s="14">
        <f t="shared" si="31"/>
        <v>586.0178603424838</v>
      </c>
      <c r="K102">
        <v>622.77755706433527</v>
      </c>
      <c r="L102" s="8">
        <f t="shared" si="32"/>
        <v>44217.864404772197</v>
      </c>
      <c r="M102" s="6">
        <f>L102*'[1]BE Projection'!$C$7</f>
        <v>173.09559100255143</v>
      </c>
      <c r="N102" s="7">
        <f t="shared" si="33"/>
        <v>655.18184404163765</v>
      </c>
      <c r="O102" s="16"/>
    </row>
    <row r="103" spans="1:15" x14ac:dyDescent="0.25">
      <c r="A103">
        <v>99</v>
      </c>
      <c r="B103" s="1">
        <f t="shared" si="26"/>
        <v>0.40123923143755325</v>
      </c>
      <c r="C103" s="1">
        <f>'[1]BE Projection'!$J115</f>
        <v>1.4759352897616984E-2</v>
      </c>
      <c r="D103" s="1">
        <f t="shared" si="27"/>
        <v>6.010746136562984E-3</v>
      </c>
      <c r="E103" s="19">
        <v>5.4063599999999998E-3</v>
      </c>
      <c r="F103" s="8">
        <f t="shared" si="28"/>
        <v>108394.16175439369</v>
      </c>
      <c r="G103" s="6">
        <f>F103*'[1]BE Projection'!$C$7</f>
        <v>424.32061662566383</v>
      </c>
      <c r="H103" s="6">
        <f t="shared" si="29"/>
        <v>108818.48237101935</v>
      </c>
      <c r="I103" s="7">
        <f t="shared" si="30"/>
        <v>654.0802724982517</v>
      </c>
      <c r="J103" s="14">
        <f t="shared" si="31"/>
        <v>588.31189035138414</v>
      </c>
      <c r="K103">
        <v>625.21548684134234</v>
      </c>
      <c r="L103" s="8">
        <f t="shared" si="32"/>
        <v>43735.77815173311</v>
      </c>
      <c r="M103" s="6">
        <f>L103*'[1]BE Projection'!$C$7</f>
        <v>171.20841246040996</v>
      </c>
      <c r="N103" s="7">
        <f t="shared" si="33"/>
        <v>648.03870937185957</v>
      </c>
      <c r="O103" s="16"/>
    </row>
    <row r="104" spans="1:15" x14ac:dyDescent="0.25">
      <c r="A104">
        <v>100</v>
      </c>
      <c r="B104" s="1">
        <f t="shared" si="26"/>
        <v>0.3953172000243978</v>
      </c>
      <c r="C104" s="1">
        <f>'[1]BE Projection'!$J116</f>
        <v>1.4759352897616984E-2</v>
      </c>
      <c r="D104" s="1">
        <f t="shared" si="27"/>
        <v>5.9220314131554633E-3</v>
      </c>
      <c r="E104" s="19">
        <v>5.4063599999999998E-3</v>
      </c>
      <c r="F104" s="8">
        <f t="shared" si="28"/>
        <v>108818.48237101935</v>
      </c>
      <c r="G104" s="6">
        <f>F104*'[1]BE Projection'!$C$7</f>
        <v>425.9816653646314</v>
      </c>
      <c r="H104" s="6">
        <f t="shared" si="29"/>
        <v>109244.46403638397</v>
      </c>
      <c r="I104" s="7">
        <f t="shared" si="30"/>
        <v>646.94914773679818</v>
      </c>
      <c r="J104" s="14">
        <f t="shared" si="31"/>
        <v>590.61490058774484</v>
      </c>
      <c r="K104">
        <v>627.66296015685714</v>
      </c>
      <c r="L104" s="8">
        <f t="shared" si="32"/>
        <v>43258.947854821658</v>
      </c>
      <c r="M104" s="6">
        <f>L104*'[1]BE Projection'!$C$7</f>
        <v>169.34180892442143</v>
      </c>
      <c r="N104" s="7">
        <f t="shared" si="33"/>
        <v>640.97345288716042</v>
      </c>
      <c r="O104" s="16"/>
    </row>
    <row r="105" spans="1:15" x14ac:dyDescent="0.25">
      <c r="A105">
        <v>101</v>
      </c>
      <c r="B105" s="1">
        <f t="shared" si="26"/>
        <v>0.38948257396273989</v>
      </c>
      <c r="C105" s="1">
        <f>'[1]BE Projection'!$J117</f>
        <v>1.4759352897616984E-2</v>
      </c>
      <c r="D105" s="1">
        <f t="shared" si="27"/>
        <v>5.8346260616579286E-3</v>
      </c>
      <c r="E105" s="19">
        <v>5.4063599999999998E-3</v>
      </c>
      <c r="F105" s="8">
        <f t="shared" si="28"/>
        <v>109244.46403638397</v>
      </c>
      <c r="G105" s="6">
        <f>F105*'[1]BE Projection'!$C$7</f>
        <v>427.64921645772722</v>
      </c>
      <c r="H105" s="6">
        <f t="shared" si="29"/>
        <v>109672.11325284169</v>
      </c>
      <c r="I105" s="7">
        <f t="shared" si="30"/>
        <v>639.89577022213007</v>
      </c>
      <c r="J105" s="14">
        <f t="shared" si="31"/>
        <v>592.92692620563321</v>
      </c>
      <c r="K105">
        <v>630.12001437008848</v>
      </c>
      <c r="L105" s="8">
        <f t="shared" si="32"/>
        <v>42787.316210858917</v>
      </c>
      <c r="M105" s="6">
        <f>L105*'[1]BE Projection'!$C$7</f>
        <v>167.49555607512224</v>
      </c>
      <c r="N105" s="7">
        <f t="shared" si="33"/>
        <v>633.98522551888993</v>
      </c>
      <c r="O105" s="16"/>
    </row>
    <row r="106" spans="1:15" x14ac:dyDescent="0.25">
      <c r="A106">
        <v>102</v>
      </c>
      <c r="B106" s="1">
        <f t="shared" ref="B106:B169" si="34">B105*(1-C105)</f>
        <v>0.38373406320615161</v>
      </c>
      <c r="C106" s="1">
        <f>'[1]BE Projection'!$J118</f>
        <v>1.4759352897616984E-2</v>
      </c>
      <c r="D106" s="1">
        <f t="shared" ref="D106:D169" si="35">B105*C106</f>
        <v>5.748510756588286E-3</v>
      </c>
      <c r="E106" s="19">
        <v>5.4063599999999998E-3</v>
      </c>
      <c r="F106" s="8">
        <f t="shared" ref="F106:F169" si="36">H105</f>
        <v>109672.11325284169</v>
      </c>
      <c r="G106" s="6">
        <f>F106*'[1]BE Projection'!$C$7</f>
        <v>429.32329535911663</v>
      </c>
      <c r="H106" s="6">
        <f t="shared" ref="H106:H169" si="37">SUM(F106:G106)</f>
        <v>110101.43654820081</v>
      </c>
      <c r="I106" s="7">
        <f t="shared" ref="I106:I169" si="38">H106*D106</f>
        <v>632.91929231315498</v>
      </c>
      <c r="J106" s="14">
        <f t="shared" ref="J106:J169" si="39">H106*E106</f>
        <v>595.24800249673092</v>
      </c>
      <c r="K106">
        <v>632.58668698649149</v>
      </c>
      <c r="L106" s="8">
        <f t="shared" ref="L106:L169" si="40">L105+M105-N105</f>
        <v>42320.826541415146</v>
      </c>
      <c r="M106" s="6">
        <f>L106*'[1]BE Projection'!$C$7</f>
        <v>165.66943203869684</v>
      </c>
      <c r="N106" s="7">
        <f t="shared" ref="N106:N169" si="41">(L106+M106)*C106</f>
        <v>627.07318745538828</v>
      </c>
      <c r="O106" s="16"/>
    </row>
    <row r="107" spans="1:15" x14ac:dyDescent="0.25">
      <c r="A107">
        <v>103</v>
      </c>
      <c r="B107" s="1">
        <f t="shared" si="34"/>
        <v>0.37807039674845555</v>
      </c>
      <c r="C107" s="1">
        <f>'[1]BE Projection'!$J119</f>
        <v>1.4759352897616984E-2</v>
      </c>
      <c r="D107" s="1">
        <f t="shared" si="35"/>
        <v>5.6636664576960524E-3</v>
      </c>
      <c r="E107" s="19">
        <v>5.4063599999999998E-3</v>
      </c>
      <c r="F107" s="8">
        <f t="shared" si="36"/>
        <v>110101.43654820081</v>
      </c>
      <c r="G107" s="6">
        <f>F107*'[1]BE Projection'!$C$7</f>
        <v>431.0039276226081</v>
      </c>
      <c r="H107" s="6">
        <f t="shared" si="37"/>
        <v>110532.44047582342</v>
      </c>
      <c r="I107" s="7">
        <f t="shared" si="38"/>
        <v>626.01887561020658</v>
      </c>
      <c r="J107" s="14">
        <f t="shared" si="39"/>
        <v>597.5781648908727</v>
      </c>
      <c r="K107">
        <v>635.06301565834076</v>
      </c>
      <c r="L107" s="8">
        <f t="shared" si="40"/>
        <v>41859.422785998453</v>
      </c>
      <c r="M107" s="6">
        <f>L107*'[1]BE Projection'!$C$7</f>
        <v>163.86321736031383</v>
      </c>
      <c r="N107" s="7">
        <f t="shared" si="41"/>
        <v>620.23650804106046</v>
      </c>
      <c r="O107" s="16"/>
    </row>
    <row r="108" spans="1:15" x14ac:dyDescent="0.25">
      <c r="A108">
        <v>104</v>
      </c>
      <c r="B108" s="1">
        <f t="shared" si="34"/>
        <v>0.37249032234270302</v>
      </c>
      <c r="C108" s="1">
        <f>'[1]BE Projection'!$J120</f>
        <v>1.4759352897616984E-2</v>
      </c>
      <c r="D108" s="1">
        <f t="shared" si="35"/>
        <v>5.5800744057525201E-3</v>
      </c>
      <c r="E108" s="19">
        <v>5.4063599999999998E-3</v>
      </c>
      <c r="F108" s="8">
        <f t="shared" si="36"/>
        <v>110532.44047582342</v>
      </c>
      <c r="G108" s="6">
        <f>F108*'[1]BE Projection'!$C$7</f>
        <v>432.69113890204301</v>
      </c>
      <c r="H108" s="6">
        <f t="shared" si="37"/>
        <v>110965.13161472545</v>
      </c>
      <c r="I108" s="7">
        <f t="shared" si="38"/>
        <v>619.19369085428934</v>
      </c>
      <c r="J108" s="14">
        <f t="shared" si="39"/>
        <v>599.91744895658712</v>
      </c>
      <c r="K108">
        <v>637.54903818530443</v>
      </c>
      <c r="L108" s="8">
        <f t="shared" si="40"/>
        <v>41403.049495317704</v>
      </c>
      <c r="M108" s="6">
        <f>L108*'[1]BE Projection'!$C$7</f>
        <v>162.07669497775302</v>
      </c>
      <c r="N108" s="7">
        <f t="shared" si="41"/>
        <v>613.47436567655291</v>
      </c>
      <c r="O108" s="16"/>
    </row>
    <row r="109" spans="1:15" x14ac:dyDescent="0.25">
      <c r="A109">
        <v>105</v>
      </c>
      <c r="B109" s="1">
        <f t="shared" si="34"/>
        <v>0.36699260622429997</v>
      </c>
      <c r="C109" s="1">
        <f>'[1]BE Projection'!$J121</f>
        <v>1.4759352897616984E-2</v>
      </c>
      <c r="D109" s="1">
        <f t="shared" si="35"/>
        <v>5.4977161184030579E-3</v>
      </c>
      <c r="E109" s="19">
        <v>5.4063599999999998E-3</v>
      </c>
      <c r="F109" s="8">
        <f t="shared" si="36"/>
        <v>110965.13161472545</v>
      </c>
      <c r="G109" s="6">
        <f>F109*'[1]BE Projection'!$C$7</f>
        <v>434.38495495168769</v>
      </c>
      <c r="H109" s="6">
        <f t="shared" si="37"/>
        <v>111399.51656967714</v>
      </c>
      <c r="I109" s="7">
        <f t="shared" si="38"/>
        <v>612.44291782742255</v>
      </c>
      <c r="J109" s="14">
        <f t="shared" si="39"/>
        <v>602.26589040163969</v>
      </c>
      <c r="K109">
        <v>640.04479251502187</v>
      </c>
      <c r="L109" s="8">
        <f t="shared" si="40"/>
        <v>40951.651824618908</v>
      </c>
      <c r="M109" s="6">
        <f>L109*'[1]BE Projection'!$C$7</f>
        <v>160.30965019532002</v>
      </c>
      <c r="N109" s="7">
        <f t="shared" si="41"/>
        <v>606.78594772001713</v>
      </c>
      <c r="O109" s="16"/>
    </row>
    <row r="110" spans="1:15" x14ac:dyDescent="0.25">
      <c r="A110">
        <v>106</v>
      </c>
      <c r="B110" s="1">
        <f t="shared" si="34"/>
        <v>0.36157603283821932</v>
      </c>
      <c r="C110" s="1">
        <f>'[1]BE Projection'!$J122</f>
        <v>1.4759352897616984E-2</v>
      </c>
      <c r="D110" s="1">
        <f t="shared" si="35"/>
        <v>5.4165733860806302E-3</v>
      </c>
      <c r="E110" s="19">
        <v>5.4063599999999998E-3</v>
      </c>
      <c r="F110" s="8">
        <f t="shared" si="36"/>
        <v>111399.51656967714</v>
      </c>
      <c r="G110" s="6">
        <f>F110*'[1]BE Projection'!$C$7</f>
        <v>436.08540162662626</v>
      </c>
      <c r="H110" s="6">
        <f t="shared" si="37"/>
        <v>111835.60197130377</v>
      </c>
      <c r="I110" s="7">
        <f t="shared" si="38"/>
        <v>605.76574525407045</v>
      </c>
      <c r="J110" s="14">
        <f t="shared" si="39"/>
        <v>604.62352507357787</v>
      </c>
      <c r="K110">
        <v>642.5503167436824</v>
      </c>
      <c r="L110" s="8">
        <f t="shared" si="40"/>
        <v>40505.175527094209</v>
      </c>
      <c r="M110" s="6">
        <f>L110*'[1]BE Projection'!$C$7</f>
        <v>158.56187065804485</v>
      </c>
      <c r="N110" s="7">
        <f t="shared" si="41"/>
        <v>600.17045038945082</v>
      </c>
      <c r="O110" s="16"/>
    </row>
    <row r="111" spans="1:15" x14ac:dyDescent="0.25">
      <c r="A111">
        <v>107</v>
      </c>
      <c r="B111" s="1">
        <f t="shared" si="34"/>
        <v>0.35623940457023967</v>
      </c>
      <c r="C111" s="1">
        <f>'[1]BE Projection'!$J123</f>
        <v>1.4759352897616984E-2</v>
      </c>
      <c r="D111" s="1">
        <f t="shared" si="35"/>
        <v>5.3366282679796258E-3</v>
      </c>
      <c r="E111" s="19">
        <v>5.4063599999999998E-3</v>
      </c>
      <c r="F111" s="8">
        <f t="shared" si="36"/>
        <v>111835.60197130377</v>
      </c>
      <c r="G111" s="6">
        <f>F111*'[1]BE Projection'!$C$7</f>
        <v>437.79250488315529</v>
      </c>
      <c r="H111" s="6">
        <f t="shared" si="37"/>
        <v>112273.39447618692</v>
      </c>
      <c r="I111" s="7">
        <f t="shared" si="38"/>
        <v>599.16137070364675</v>
      </c>
      <c r="J111" s="14">
        <f t="shared" si="39"/>
        <v>606.99038896027787</v>
      </c>
      <c r="K111">
        <v>645.06564911660689</v>
      </c>
      <c r="L111" s="8">
        <f t="shared" si="40"/>
        <v>40063.5669473628</v>
      </c>
      <c r="M111" s="6">
        <f>L111*'[1]BE Projection'!$C$7</f>
        <v>156.83314632616248</v>
      </c>
      <c r="N111" s="7">
        <f t="shared" si="41"/>
        <v>593.62707866610265</v>
      </c>
      <c r="O111" s="16"/>
    </row>
    <row r="112" spans="1:15" x14ac:dyDescent="0.25">
      <c r="A112">
        <v>108</v>
      </c>
      <c r="B112" s="1">
        <f t="shared" si="34"/>
        <v>0.35098154148215055</v>
      </c>
      <c r="C112" s="1">
        <f>'[1]BE Projection'!$J124</f>
        <v>1.6545235920025325E-2</v>
      </c>
      <c r="D112" s="1">
        <f t="shared" si="35"/>
        <v>5.8940649926239631E-3</v>
      </c>
      <c r="E112" s="19">
        <v>5.4063599999999998E-3</v>
      </c>
      <c r="F112" s="8">
        <f t="shared" si="36"/>
        <v>112273.39447618692</v>
      </c>
      <c r="G112" s="6">
        <f>F112*'[1]BE Projection'!$C$7</f>
        <v>439.50629077918012</v>
      </c>
      <c r="H112" s="6">
        <f t="shared" si="37"/>
        <v>112712.90076696611</v>
      </c>
      <c r="I112" s="7">
        <f t="shared" si="38"/>
        <v>664.33716262767359</v>
      </c>
      <c r="J112" s="14">
        <f t="shared" si="39"/>
        <v>609.36651819049484</v>
      </c>
      <c r="K112">
        <v>601.49026505965787</v>
      </c>
      <c r="L112" s="8">
        <f t="shared" si="40"/>
        <v>39626.77301502286</v>
      </c>
      <c r="M112" s="6">
        <f>L112*'[1]BE Projection'!$C$7</f>
        <v>155.12326944987103</v>
      </c>
      <c r="N112" s="7">
        <f t="shared" si="41"/>
        <v>658.20085937258023</v>
      </c>
      <c r="O112" s="16"/>
    </row>
    <row r="113" spans="1:15" x14ac:dyDescent="0.25">
      <c r="A113">
        <v>109</v>
      </c>
      <c r="B113" s="1">
        <f t="shared" si="34"/>
        <v>0.34517446907475419</v>
      </c>
      <c r="C113" s="1">
        <f>'[1]BE Projection'!$J125</f>
        <v>1.6545235920025325E-2</v>
      </c>
      <c r="D113" s="1">
        <f t="shared" si="35"/>
        <v>5.8070724073963362E-3</v>
      </c>
      <c r="E113" s="19">
        <v>5.4063599999999998E-3</v>
      </c>
      <c r="F113" s="8">
        <f t="shared" si="36"/>
        <v>112712.90076696611</v>
      </c>
      <c r="G113" s="6">
        <f>F113*'[1]BE Projection'!$C$7</f>
        <v>441.2267854746126</v>
      </c>
      <c r="H113" s="6">
        <f t="shared" si="37"/>
        <v>113154.12755244072</v>
      </c>
      <c r="I113" s="7">
        <f t="shared" si="38"/>
        <v>657.09421189278407</v>
      </c>
      <c r="J113" s="14">
        <f t="shared" si="39"/>
        <v>611.75194903441343</v>
      </c>
      <c r="K113">
        <v>603.84486344095001</v>
      </c>
      <c r="L113" s="8">
        <f t="shared" si="40"/>
        <v>39123.695425100152</v>
      </c>
      <c r="M113" s="6">
        <f>L113*'[1]BE Projection'!$C$7</f>
        <v>153.15391805943136</v>
      </c>
      <c r="N113" s="7">
        <f t="shared" si="41"/>
        <v>649.84473857786702</v>
      </c>
      <c r="O113" s="16"/>
    </row>
    <row r="114" spans="1:15" x14ac:dyDescent="0.25">
      <c r="A114">
        <v>110</v>
      </c>
      <c r="B114" s="1">
        <f t="shared" si="34"/>
        <v>0.33946347605034288</v>
      </c>
      <c r="C114" s="1">
        <f>'[1]BE Projection'!$J126</f>
        <v>1.6545235920025325E-2</v>
      </c>
      <c r="D114" s="1">
        <f t="shared" si="35"/>
        <v>5.7109930244112934E-3</v>
      </c>
      <c r="E114" s="19">
        <v>5.4063599999999998E-3</v>
      </c>
      <c r="F114" s="8">
        <f t="shared" si="36"/>
        <v>113154.12755244072</v>
      </c>
      <c r="G114" s="6">
        <f>F114*'[1]BE Projection'!$C$7</f>
        <v>442.95401523177026</v>
      </c>
      <c r="H114" s="6">
        <f t="shared" si="37"/>
        <v>113597.08156767249</v>
      </c>
      <c r="I114" s="7">
        <f t="shared" si="38"/>
        <v>648.75214042645825</v>
      </c>
      <c r="J114" s="14">
        <f t="shared" si="39"/>
        <v>614.14671790420186</v>
      </c>
      <c r="K114">
        <v>606.20867915103247</v>
      </c>
      <c r="L114" s="8">
        <f t="shared" si="40"/>
        <v>38627.004604581722</v>
      </c>
      <c r="M114" s="6">
        <f>L114*'[1]BE Projection'!$C$7</f>
        <v>151.20956836546694</v>
      </c>
      <c r="N114" s="7">
        <f t="shared" si="41"/>
        <v>641.59470204868103</v>
      </c>
      <c r="O114" s="16"/>
    </row>
    <row r="115" spans="1:15" x14ac:dyDescent="0.25">
      <c r="A115">
        <v>111</v>
      </c>
      <c r="B115" s="1">
        <f t="shared" si="34"/>
        <v>0.33384697275285807</v>
      </c>
      <c r="C115" s="1">
        <f>'[1]BE Projection'!$J127</f>
        <v>1.6545235920025325E-2</v>
      </c>
      <c r="D115" s="1">
        <f t="shared" si="35"/>
        <v>5.6165032974847895E-3</v>
      </c>
      <c r="E115" s="19">
        <v>5.4063599999999998E-3</v>
      </c>
      <c r="F115" s="8">
        <f t="shared" si="36"/>
        <v>113597.08156767249</v>
      </c>
      <c r="G115" s="6">
        <f>F115*'[1]BE Projection'!$C$7</f>
        <v>444.68800641577729</v>
      </c>
      <c r="H115" s="6">
        <f t="shared" si="37"/>
        <v>114041.76957408826</v>
      </c>
      <c r="I115" s="7">
        <f t="shared" si="38"/>
        <v>640.51597486386731</v>
      </c>
      <c r="J115" s="14">
        <f t="shared" si="39"/>
        <v>616.55086135456781</v>
      </c>
      <c r="K115">
        <v>608.58174827213088</v>
      </c>
      <c r="L115" s="8">
        <f t="shared" si="40"/>
        <v>38136.619470898513</v>
      </c>
      <c r="M115" s="6">
        <f>L115*'[1]BE Projection'!$C$7</f>
        <v>149.28990296153125</v>
      </c>
      <c r="N115" s="7">
        <f t="shared" si="41"/>
        <v>633.44940300322344</v>
      </c>
      <c r="O115" s="16"/>
    </row>
    <row r="116" spans="1:15" x14ac:dyDescent="0.25">
      <c r="A116">
        <v>112</v>
      </c>
      <c r="B116" s="1">
        <f t="shared" si="34"/>
        <v>0.32832339582747577</v>
      </c>
      <c r="C116" s="1">
        <f>'[1]BE Projection'!$J128</f>
        <v>1.6545235920025325E-2</v>
      </c>
      <c r="D116" s="1">
        <f t="shared" si="35"/>
        <v>5.5235769253823034E-3</v>
      </c>
      <c r="E116" s="19">
        <v>5.4063599999999998E-3</v>
      </c>
      <c r="F116" s="8">
        <f t="shared" si="36"/>
        <v>114041.76957408826</v>
      </c>
      <c r="G116" s="6">
        <f>F116*'[1]BE Projection'!$C$7</f>
        <v>446.42878549496726</v>
      </c>
      <c r="H116" s="6">
        <f t="shared" si="37"/>
        <v>114488.19835958323</v>
      </c>
      <c r="I116" s="7">
        <f t="shared" si="38"/>
        <v>632.38437068758606</v>
      </c>
      <c r="J116" s="14">
        <f t="shared" si="39"/>
        <v>618.96441608331634</v>
      </c>
      <c r="K116">
        <v>610.96410702771846</v>
      </c>
      <c r="L116" s="8">
        <f t="shared" si="40"/>
        <v>37652.45997085682</v>
      </c>
      <c r="M116" s="6">
        <f>L116*'[1]BE Projection'!$C$7</f>
        <v>147.39460847077851</v>
      </c>
      <c r="N116" s="7">
        <f t="shared" si="41"/>
        <v>625.40751175762477</v>
      </c>
      <c r="O116" s="16"/>
    </row>
    <row r="117" spans="1:15" x14ac:dyDescent="0.25">
      <c r="A117">
        <v>113</v>
      </c>
      <c r="B117" s="1">
        <f t="shared" si="34"/>
        <v>0.32289120778544633</v>
      </c>
      <c r="C117" s="1">
        <f>'[1]BE Projection'!$J129</f>
        <v>1.6545235920025325E-2</v>
      </c>
      <c r="D117" s="1">
        <f t="shared" si="35"/>
        <v>5.4321880420294451E-3</v>
      </c>
      <c r="E117" s="19">
        <v>5.4063599999999998E-3</v>
      </c>
      <c r="F117" s="8">
        <f t="shared" si="36"/>
        <v>114488.19835958323</v>
      </c>
      <c r="G117" s="6">
        <f>F117*'[1]BE Projection'!$C$7</f>
        <v>448.17637904128657</v>
      </c>
      <c r="H117" s="6">
        <f t="shared" si="37"/>
        <v>114936.37473862451</v>
      </c>
      <c r="I117" s="7">
        <f t="shared" si="38"/>
        <v>624.35600044937121</v>
      </c>
      <c r="J117" s="14">
        <f t="shared" si="39"/>
        <v>621.38741893191002</v>
      </c>
      <c r="K117">
        <v>613.35579178306932</v>
      </c>
      <c r="L117" s="8">
        <f t="shared" si="40"/>
        <v>37174.447067569978</v>
      </c>
      <c r="M117" s="6">
        <f>L117*'[1]BE Projection'!$C$7</f>
        <v>145.5233754948062</v>
      </c>
      <c r="N117" s="7">
        <f t="shared" si="41"/>
        <v>617.46771550887888</v>
      </c>
      <c r="O117" s="16"/>
    </row>
    <row r="118" spans="1:15" x14ac:dyDescent="0.25">
      <c r="A118">
        <v>114</v>
      </c>
      <c r="B118" s="1">
        <f t="shared" si="34"/>
        <v>0.31754889657613422</v>
      </c>
      <c r="C118" s="1">
        <f>'[1]BE Projection'!$J130</f>
        <v>1.6545235920025325E-2</v>
      </c>
      <c r="D118" s="1">
        <f t="shared" si="35"/>
        <v>5.3423112093121273E-3</v>
      </c>
      <c r="E118" s="19">
        <v>5.4063599999999998E-3</v>
      </c>
      <c r="F118" s="8">
        <f t="shared" si="36"/>
        <v>114936.37473862451</v>
      </c>
      <c r="G118" s="6">
        <f>F118*'[1]BE Projection'!$C$7</f>
        <v>449.93081373070049</v>
      </c>
      <c r="H118" s="6">
        <f t="shared" si="37"/>
        <v>115386.3055523552</v>
      </c>
      <c r="I118" s="7">
        <f t="shared" si="38"/>
        <v>616.42955355346135</v>
      </c>
      <c r="J118" s="14">
        <f t="shared" si="39"/>
        <v>623.81990688603105</v>
      </c>
      <c r="K118">
        <v>615.75683904581331</v>
      </c>
      <c r="L118" s="8">
        <f t="shared" si="40"/>
        <v>36702.502727555904</v>
      </c>
      <c r="M118" s="6">
        <f>L118*'[1]BE Projection'!$C$7</f>
        <v>143.67589856314714</v>
      </c>
      <c r="N118" s="7">
        <f t="shared" si="41"/>
        <v>609.62871812053424</v>
      </c>
      <c r="O118" s="16"/>
    </row>
    <row r="119" spans="1:15" x14ac:dyDescent="0.25">
      <c r="A119">
        <v>115</v>
      </c>
      <c r="B119" s="1">
        <f t="shared" si="34"/>
        <v>0.31229497516613836</v>
      </c>
      <c r="C119" s="1">
        <f>'[1]BE Projection'!$J131</f>
        <v>1.6545235920025325E-2</v>
      </c>
      <c r="D119" s="1">
        <f t="shared" si="35"/>
        <v>5.2539214099958627E-3</v>
      </c>
      <c r="E119" s="19">
        <v>5.4063599999999998E-3</v>
      </c>
      <c r="F119" s="8">
        <f t="shared" si="36"/>
        <v>115386.3055523552</v>
      </c>
      <c r="G119" s="6">
        <f>F119*'[1]BE Projection'!$C$7</f>
        <v>451.69211634360028</v>
      </c>
      <c r="H119" s="6">
        <f t="shared" si="37"/>
        <v>115837.99766869881</v>
      </c>
      <c r="I119" s="7">
        <f t="shared" si="38"/>
        <v>608.60373604262747</v>
      </c>
      <c r="J119" s="14">
        <f t="shared" si="39"/>
        <v>626.26191707614646</v>
      </c>
      <c r="K119">
        <v>618.16728546649324</v>
      </c>
      <c r="L119" s="8">
        <f t="shared" si="40"/>
        <v>36236.549907998517</v>
      </c>
      <c r="M119" s="6">
        <f>L119*'[1]BE Projection'!$C$7</f>
        <v>141.8518760834028</v>
      </c>
      <c r="N119" s="7">
        <f t="shared" si="41"/>
        <v>601.88923991110562</v>
      </c>
      <c r="O119" s="16"/>
    </row>
    <row r="120" spans="1:15" x14ac:dyDescent="0.25">
      <c r="A120">
        <v>116</v>
      </c>
      <c r="B120" s="1">
        <f t="shared" si="34"/>
        <v>0.30712798112537615</v>
      </c>
      <c r="C120" s="1">
        <f>'[1]BE Projection'!$J132</f>
        <v>1.6545235920025325E-2</v>
      </c>
      <c r="D120" s="1">
        <f t="shared" si="35"/>
        <v>5.166994040762209E-3</v>
      </c>
      <c r="E120" s="19">
        <v>5.4063599999999998E-3</v>
      </c>
      <c r="F120" s="8">
        <f t="shared" si="36"/>
        <v>115837.99766869881</v>
      </c>
      <c r="G120" s="6">
        <f>F120*'[1]BE Projection'!$C$7</f>
        <v>453.46031376521188</v>
      </c>
      <c r="H120" s="6">
        <f t="shared" si="37"/>
        <v>116291.45798246402</v>
      </c>
      <c r="I120" s="7">
        <f t="shared" si="38"/>
        <v>600.87727038694038</v>
      </c>
      <c r="J120" s="14">
        <f t="shared" si="39"/>
        <v>628.71348677807418</v>
      </c>
      <c r="K120">
        <v>620.58716783912462</v>
      </c>
      <c r="L120" s="8">
        <f t="shared" si="40"/>
        <v>35776.512544170815</v>
      </c>
      <c r="M120" s="6">
        <f>L120*'[1]BE Projection'!$C$7</f>
        <v>140.05101029200972</v>
      </c>
      <c r="N120" s="7">
        <f t="shared" si="41"/>
        <v>594.24801744517083</v>
      </c>
      <c r="O120" s="16"/>
    </row>
    <row r="121" spans="1:15" x14ac:dyDescent="0.25">
      <c r="A121">
        <v>117</v>
      </c>
      <c r="B121" s="1">
        <f t="shared" si="34"/>
        <v>0.30204647622001574</v>
      </c>
      <c r="C121" s="1">
        <f>'[1]BE Projection'!$J133</f>
        <v>1.6545235920025325E-2</v>
      </c>
      <c r="D121" s="1">
        <f t="shared" si="35"/>
        <v>5.0815049053604339E-3</v>
      </c>
      <c r="E121" s="19">
        <v>5.4063599999999998E-3</v>
      </c>
      <c r="F121" s="8">
        <f t="shared" si="36"/>
        <v>116291.45798246402</v>
      </c>
      <c r="G121" s="6">
        <f>F121*'[1]BE Projection'!$C$7</f>
        <v>455.23543298600629</v>
      </c>
      <c r="H121" s="6">
        <f t="shared" si="37"/>
        <v>116746.69341545003</v>
      </c>
      <c r="I121" s="7">
        <f t="shared" si="38"/>
        <v>593.24889527521998</v>
      </c>
      <c r="J121" s="14">
        <f t="shared" si="39"/>
        <v>631.17465341355239</v>
      </c>
      <c r="K121">
        <v>623.01652310175677</v>
      </c>
      <c r="L121" s="8">
        <f t="shared" si="40"/>
        <v>35322.315537017654</v>
      </c>
      <c r="M121" s="6">
        <f>L121*'[1]BE Projection'!$C$7</f>
        <v>138.27300720563088</v>
      </c>
      <c r="N121" s="7">
        <f t="shared" si="41"/>
        <v>586.70380332712159</v>
      </c>
      <c r="O121" s="16"/>
    </row>
    <row r="122" spans="1:15" x14ac:dyDescent="0.25">
      <c r="A122">
        <v>118</v>
      </c>
      <c r="B122" s="1">
        <f t="shared" si="34"/>
        <v>0.29704904601214327</v>
      </c>
      <c r="C122" s="1">
        <f>'[1]BE Projection'!$J134</f>
        <v>1.6545235920025325E-2</v>
      </c>
      <c r="D122" s="1">
        <f t="shared" si="35"/>
        <v>4.9974302078724794E-3</v>
      </c>
      <c r="E122" s="19">
        <v>5.4063599999999998E-3</v>
      </c>
      <c r="F122" s="8">
        <f t="shared" si="36"/>
        <v>116746.69341545003</v>
      </c>
      <c r="G122" s="6">
        <f>F122*'[1]BE Projection'!$C$7</f>
        <v>457.01750110211168</v>
      </c>
      <c r="H122" s="6">
        <f t="shared" si="37"/>
        <v>117203.71091655214</v>
      </c>
      <c r="I122" s="7">
        <f t="shared" si="38"/>
        <v>585.71736540913116</v>
      </c>
      <c r="J122" s="14">
        <f t="shared" si="39"/>
        <v>633.64545455081077</v>
      </c>
      <c r="K122">
        <v>625.45538833703733</v>
      </c>
      <c r="L122" s="8">
        <f t="shared" si="40"/>
        <v>34873.884740896159</v>
      </c>
      <c r="M122" s="6">
        <f>L122*'[1]BE Projection'!$C$7</f>
        <v>136.51757657316421</v>
      </c>
      <c r="N122" s="7">
        <f t="shared" si="41"/>
        <v>579.25536599753127</v>
      </c>
      <c r="O122" s="16"/>
    </row>
    <row r="123" spans="1:15" x14ac:dyDescent="0.25">
      <c r="A123">
        <v>119</v>
      </c>
      <c r="B123" s="1">
        <f t="shared" si="34"/>
        <v>0.2921342994660539</v>
      </c>
      <c r="C123" s="1">
        <f>'[1]BE Projection'!$J135</f>
        <v>1.6545235920025325E-2</v>
      </c>
      <c r="D123" s="1">
        <f t="shared" si="35"/>
        <v>4.9147465460893684E-3</v>
      </c>
      <c r="E123" s="19">
        <v>5.4063599999999998E-3</v>
      </c>
      <c r="F123" s="8">
        <f t="shared" si="36"/>
        <v>117203.71091655214</v>
      </c>
      <c r="G123" s="6">
        <f>F123*'[1]BE Projection'!$C$7</f>
        <v>458.80654531572685</v>
      </c>
      <c r="H123" s="6">
        <f t="shared" si="37"/>
        <v>117662.51746186787</v>
      </c>
      <c r="I123" s="7">
        <f t="shared" si="38"/>
        <v>578.28145129989514</v>
      </c>
      <c r="J123" s="14">
        <f t="shared" si="39"/>
        <v>636.12592790514395</v>
      </c>
      <c r="K123">
        <v>627.9038007727778</v>
      </c>
      <c r="L123" s="8">
        <f t="shared" si="40"/>
        <v>34431.14695147179</v>
      </c>
      <c r="M123" s="6">
        <f>L123*'[1]BE Projection'!$C$7</f>
        <v>134.78443182836048</v>
      </c>
      <c r="N123" s="7">
        <f t="shared" si="41"/>
        <v>571.90148953210837</v>
      </c>
      <c r="O123" s="16"/>
    </row>
    <row r="124" spans="1:15" x14ac:dyDescent="0.25">
      <c r="A124">
        <v>120</v>
      </c>
      <c r="B124" s="1">
        <f t="shared" si="34"/>
        <v>0.28730086856105669</v>
      </c>
      <c r="C124" s="1">
        <f>'[1]BE Projection'!$J136</f>
        <v>1.8421920158795624E-2</v>
      </c>
      <c r="D124" s="1">
        <f t="shared" si="35"/>
        <v>5.3816747404093358E-3</v>
      </c>
      <c r="E124" s="19">
        <v>5.4063599999999998E-3</v>
      </c>
      <c r="F124" s="8">
        <f t="shared" si="36"/>
        <v>117662.51746186787</v>
      </c>
      <c r="G124" s="6">
        <f>F124*'[1]BE Projection'!$C$7</f>
        <v>460.60259293553668</v>
      </c>
      <c r="H124" s="6">
        <f t="shared" si="37"/>
        <v>118123.12005480341</v>
      </c>
      <c r="I124" s="7">
        <f t="shared" si="38"/>
        <v>635.70021145727492</v>
      </c>
      <c r="J124" s="14">
        <f t="shared" si="39"/>
        <v>638.61611133948691</v>
      </c>
      <c r="K124">
        <v>568.74325246306967</v>
      </c>
      <c r="L124" s="8">
        <f t="shared" si="40"/>
        <v>33994.029893768042</v>
      </c>
      <c r="M124" s="6">
        <f>L124*'[1]BE Projection'!$C$7</f>
        <v>133.07329004304259</v>
      </c>
      <c r="N124" s="7">
        <f t="shared" si="41"/>
        <v>628.68677010314775</v>
      </c>
      <c r="O124" s="16"/>
    </row>
    <row r="125" spans="1:15" x14ac:dyDescent="0.25">
      <c r="A125">
        <v>121</v>
      </c>
      <c r="B125" s="1">
        <f t="shared" si="34"/>
        <v>0.28200823489887228</v>
      </c>
      <c r="C125" s="1">
        <f>'[1]BE Projection'!$J137</f>
        <v>1.8421920158795624E-2</v>
      </c>
      <c r="D125" s="1">
        <f t="shared" si="35"/>
        <v>5.2926336621844225E-3</v>
      </c>
      <c r="E125" s="19">
        <v>5.4063599999999998E-3</v>
      </c>
      <c r="F125" s="8">
        <f t="shared" si="36"/>
        <v>118123.12005480341</v>
      </c>
      <c r="G125" s="6">
        <f>F125*'[1]BE Projection'!$C$7</f>
        <v>462.40567137712873</v>
      </c>
      <c r="H125" s="6">
        <f t="shared" si="37"/>
        <v>118585.52572618054</v>
      </c>
      <c r="I125" s="7">
        <f t="shared" si="38"/>
        <v>627.62974530622</v>
      </c>
      <c r="J125" s="14">
        <f t="shared" si="39"/>
        <v>641.11604286499335</v>
      </c>
      <c r="K125">
        <v>570.96965913897418</v>
      </c>
      <c r="L125" s="8">
        <f t="shared" si="40"/>
        <v>33498.416413707942</v>
      </c>
      <c r="M125" s="6">
        <f>L125*'[1]BE Projection'!$C$7</f>
        <v>131.13315771429595</v>
      </c>
      <c r="N125" s="7">
        <f t="shared" si="41"/>
        <v>619.52087718100017</v>
      </c>
      <c r="O125" s="16"/>
    </row>
    <row r="126" spans="1:15" x14ac:dyDescent="0.25">
      <c r="A126">
        <v>122</v>
      </c>
      <c r="B126" s="1">
        <f t="shared" si="34"/>
        <v>0.27681310171144236</v>
      </c>
      <c r="C126" s="1">
        <f>'[1]BE Projection'!$J138</f>
        <v>1.8421920158795624E-2</v>
      </c>
      <c r="D126" s="1">
        <f t="shared" si="35"/>
        <v>5.1951331874299069E-3</v>
      </c>
      <c r="E126" s="19">
        <v>5.4063599999999998E-3</v>
      </c>
      <c r="F126" s="8">
        <f t="shared" si="36"/>
        <v>118585.52572618054</v>
      </c>
      <c r="G126" s="6">
        <f>F126*'[1]BE Projection'!$C$7</f>
        <v>464.21580816341179</v>
      </c>
      <c r="H126" s="6">
        <f t="shared" si="37"/>
        <v>119049.74153434395</v>
      </c>
      <c r="I126" s="7">
        <f t="shared" si="38"/>
        <v>618.47926320002284</v>
      </c>
      <c r="J126" s="14">
        <f t="shared" si="39"/>
        <v>643.62576064161578</v>
      </c>
      <c r="K126">
        <v>573.2047813234409</v>
      </c>
      <c r="L126" s="8">
        <f t="shared" si="40"/>
        <v>33010.028694241242</v>
      </c>
      <c r="M126" s="6">
        <f>L126*'[1]BE Projection'!$C$7</f>
        <v>129.22131140336572</v>
      </c>
      <c r="N126" s="7">
        <f t="shared" si="41"/>
        <v>610.48861772635235</v>
      </c>
      <c r="O126" s="16"/>
    </row>
    <row r="127" spans="1:15" x14ac:dyDescent="0.25">
      <c r="A127">
        <v>123</v>
      </c>
      <c r="B127" s="1">
        <f t="shared" si="34"/>
        <v>0.27171367285280557</v>
      </c>
      <c r="C127" s="1">
        <f>'[1]BE Projection'!$J139</f>
        <v>1.8421920158795624E-2</v>
      </c>
      <c r="D127" s="1">
        <f t="shared" si="35"/>
        <v>5.0994288586367637E-3</v>
      </c>
      <c r="E127" s="19">
        <v>5.4063599999999998E-3</v>
      </c>
      <c r="F127" s="8">
        <f t="shared" si="36"/>
        <v>119049.74153434395</v>
      </c>
      <c r="G127" s="6">
        <f>F127*'[1]BE Projection'!$C$7</f>
        <v>466.0330309250362</v>
      </c>
      <c r="H127" s="6">
        <f t="shared" si="37"/>
        <v>119515.77456526899</v>
      </c>
      <c r="I127" s="7">
        <f t="shared" si="38"/>
        <v>609.46218988045837</v>
      </c>
      <c r="J127" s="14">
        <f t="shared" si="39"/>
        <v>646.1453029786876</v>
      </c>
      <c r="K127">
        <v>575.44865313426612</v>
      </c>
      <c r="L127" s="8">
        <f t="shared" si="40"/>
        <v>32528.761387918257</v>
      </c>
      <c r="M127" s="6">
        <f>L127*'[1]BE Projection'!$C$7</f>
        <v>127.33733871631772</v>
      </c>
      <c r="N127" s="7">
        <f t="shared" si="41"/>
        <v>601.58804343980955</v>
      </c>
      <c r="O127" s="16"/>
    </row>
    <row r="128" spans="1:15" x14ac:dyDescent="0.25">
      <c r="A128">
        <v>124</v>
      </c>
      <c r="B128" s="1">
        <f t="shared" si="34"/>
        <v>0.26670818526545809</v>
      </c>
      <c r="C128" s="1">
        <f>'[1]BE Projection'!$J140</f>
        <v>1.8421920158795624E-2</v>
      </c>
      <c r="D128" s="1">
        <f t="shared" si="35"/>
        <v>5.0054875873474982E-3</v>
      </c>
      <c r="E128" s="19">
        <v>5.4063599999999998E-3</v>
      </c>
      <c r="F128" s="8">
        <f t="shared" si="36"/>
        <v>119515.77456526899</v>
      </c>
      <c r="G128" s="6">
        <f>F128*'[1]BE Projection'!$C$7</f>
        <v>467.85736740081529</v>
      </c>
      <c r="H128" s="6">
        <f t="shared" si="37"/>
        <v>119983.63193266981</v>
      </c>
      <c r="I128" s="7">
        <f t="shared" si="38"/>
        <v>600.57658032384973</v>
      </c>
      <c r="J128" s="14">
        <f t="shared" si="39"/>
        <v>648.67470833550874</v>
      </c>
      <c r="K128">
        <v>577.70130882280387</v>
      </c>
      <c r="L128" s="8">
        <f t="shared" si="40"/>
        <v>32054.510683194767</v>
      </c>
      <c r="M128" s="6">
        <f>L128*'[1]BE Projection'!$C$7</f>
        <v>125.48083327168503</v>
      </c>
      <c r="N128" s="7">
        <f t="shared" si="41"/>
        <v>592.8172344270655</v>
      </c>
      <c r="O128" s="16"/>
    </row>
    <row r="129" spans="1:15" x14ac:dyDescent="0.25">
      <c r="A129">
        <v>125</v>
      </c>
      <c r="B129" s="1">
        <f t="shared" si="34"/>
        <v>0.26179490837080055</v>
      </c>
      <c r="C129" s="1">
        <f>'[1]BE Projection'!$J141</f>
        <v>1.8421920158795624E-2</v>
      </c>
      <c r="D129" s="1">
        <f t="shared" si="35"/>
        <v>4.9132768946575402E-3</v>
      </c>
      <c r="E129" s="19">
        <v>5.4063599999999998E-3</v>
      </c>
      <c r="F129" s="8">
        <f t="shared" si="36"/>
        <v>119983.63193266981</v>
      </c>
      <c r="G129" s="6">
        <f>F129*'[1]BE Projection'!$C$7</f>
        <v>469.68884543814909</v>
      </c>
      <c r="H129" s="6">
        <f t="shared" si="37"/>
        <v>120453.32077810797</v>
      </c>
      <c r="I129" s="7">
        <f t="shared" si="38"/>
        <v>591.82051786385091</v>
      </c>
      <c r="J129" s="14">
        <f t="shared" si="39"/>
        <v>651.21401532193181</v>
      </c>
      <c r="K129">
        <v>579.96278277448903</v>
      </c>
      <c r="L129" s="8">
        <f t="shared" si="40"/>
        <v>31587.174282039388</v>
      </c>
      <c r="M129" s="6">
        <f>L129*'[1]BE Projection'!$C$7</f>
        <v>123.65139461280975</v>
      </c>
      <c r="N129" s="7">
        <f t="shared" si="41"/>
        <v>584.17429878477299</v>
      </c>
      <c r="O129" s="16"/>
    </row>
    <row r="130" spans="1:15" x14ac:dyDescent="0.25">
      <c r="A130">
        <v>126</v>
      </c>
      <c r="B130" s="1">
        <f t="shared" si="34"/>
        <v>0.25697214347081443</v>
      </c>
      <c r="C130" s="1">
        <f>'[1]BE Projection'!$J142</f>
        <v>1.8421920158795624E-2</v>
      </c>
      <c r="D130" s="1">
        <f t="shared" si="35"/>
        <v>4.8227648999861041E-3</v>
      </c>
      <c r="E130" s="19">
        <v>5.4063599999999998E-3</v>
      </c>
      <c r="F130" s="8">
        <f t="shared" si="36"/>
        <v>120453.32077810797</v>
      </c>
      <c r="G130" s="6">
        <f>F130*'[1]BE Projection'!$C$7</f>
        <v>471.52749299344913</v>
      </c>
      <c r="H130" s="6">
        <f t="shared" si="37"/>
        <v>120924.84827110142</v>
      </c>
      <c r="I130" s="7">
        <f t="shared" si="38"/>
        <v>583.19211377801321</v>
      </c>
      <c r="J130" s="14">
        <f t="shared" si="39"/>
        <v>653.76326269895185</v>
      </c>
      <c r="K130">
        <v>582.23310950936161</v>
      </c>
      <c r="L130" s="8">
        <f t="shared" si="40"/>
        <v>31126.651377867427</v>
      </c>
      <c r="M130" s="6">
        <f>L130*'[1]BE Projection'!$C$7</f>
        <v>121.84862812146255</v>
      </c>
      <c r="N130" s="7">
        <f t="shared" si="41"/>
        <v>575.65737219245182</v>
      </c>
      <c r="O130" s="16"/>
    </row>
    <row r="131" spans="1:15" x14ac:dyDescent="0.25">
      <c r="A131">
        <v>127</v>
      </c>
      <c r="B131" s="1">
        <f t="shared" si="34"/>
        <v>0.2522382231607605</v>
      </c>
      <c r="C131" s="1">
        <f>'[1]BE Projection'!$J143</f>
        <v>1.8421920158795624E-2</v>
      </c>
      <c r="D131" s="1">
        <f t="shared" si="35"/>
        <v>4.7339203100539174E-3</v>
      </c>
      <c r="E131" s="19">
        <v>5.4063599999999998E-3</v>
      </c>
      <c r="F131" s="8">
        <f t="shared" si="36"/>
        <v>120924.84827110142</v>
      </c>
      <c r="G131" s="6">
        <f>F131*'[1]BE Projection'!$C$7</f>
        <v>473.37333813256544</v>
      </c>
      <c r="H131" s="6">
        <f t="shared" si="37"/>
        <v>121398.22160923398</v>
      </c>
      <c r="I131" s="7">
        <f t="shared" si="38"/>
        <v>574.6895068803791</v>
      </c>
      <c r="J131" s="14">
        <f t="shared" si="39"/>
        <v>656.32248937929819</v>
      </c>
      <c r="K131">
        <v>584.51232368259434</v>
      </c>
      <c r="L131" s="8">
        <f t="shared" si="40"/>
        <v>30672.842633796437</v>
      </c>
      <c r="M131" s="6">
        <f>L131*'[1]BE Projection'!$C$7</f>
        <v>120.07214493272186</v>
      </c>
      <c r="N131" s="7">
        <f t="shared" si="41"/>
        <v>567.2646175103464</v>
      </c>
      <c r="O131" s="16"/>
    </row>
    <row r="132" spans="1:15" x14ac:dyDescent="0.25">
      <c r="A132">
        <v>128</v>
      </c>
      <c r="B132" s="1">
        <f t="shared" si="34"/>
        <v>0.2475915107526965</v>
      </c>
      <c r="C132" s="1">
        <f>'[1]BE Projection'!$J144</f>
        <v>1.8421920158795624E-2</v>
      </c>
      <c r="D132" s="1">
        <f t="shared" si="35"/>
        <v>4.6467124080640035E-3</v>
      </c>
      <c r="E132" s="19">
        <v>5.4063599999999998E-3</v>
      </c>
      <c r="F132" s="8">
        <f t="shared" si="36"/>
        <v>121398.22160923398</v>
      </c>
      <c r="G132" s="6">
        <f>F132*'[1]BE Projection'!$C$7</f>
        <v>475.22640903121481</v>
      </c>
      <c r="H132" s="6">
        <f t="shared" si="37"/>
        <v>121873.44801826519</v>
      </c>
      <c r="I132" s="7">
        <f t="shared" si="38"/>
        <v>566.31086312001617</v>
      </c>
      <c r="J132" s="14">
        <f t="shared" si="39"/>
        <v>658.89173442802814</v>
      </c>
      <c r="K132">
        <v>586.8004600850212</v>
      </c>
      <c r="L132" s="8">
        <f t="shared" si="40"/>
        <v>30225.650161218811</v>
      </c>
      <c r="M132" s="6">
        <f>L132*'[1]BE Projection'!$C$7</f>
        <v>118.32156185109383</v>
      </c>
      <c r="N132" s="7">
        <f t="shared" si="41"/>
        <v>558.99422438314593</v>
      </c>
      <c r="O132" s="16"/>
    </row>
    <row r="133" spans="1:15" x14ac:dyDescent="0.25">
      <c r="A133">
        <v>129</v>
      </c>
      <c r="B133" s="1">
        <f t="shared" si="34"/>
        <v>0.24303039970961474</v>
      </c>
      <c r="C133" s="1">
        <f>'[1]BE Projection'!$J145</f>
        <v>1.8421920158795624E-2</v>
      </c>
      <c r="D133" s="1">
        <f t="shared" si="35"/>
        <v>4.5611110430817635E-3</v>
      </c>
      <c r="E133" s="19">
        <v>5.4063599999999998E-3</v>
      </c>
      <c r="F133" s="8">
        <f t="shared" si="36"/>
        <v>121873.44801826519</v>
      </c>
      <c r="G133" s="6">
        <f>F133*'[1]BE Projection'!$C$7</f>
        <v>477.08673397541088</v>
      </c>
      <c r="H133" s="6">
        <f t="shared" si="37"/>
        <v>122350.53475224059</v>
      </c>
      <c r="I133" s="7">
        <f t="shared" si="38"/>
        <v>558.05437518540361</v>
      </c>
      <c r="J133" s="14">
        <f t="shared" si="39"/>
        <v>661.47103706312339</v>
      </c>
      <c r="K133">
        <v>589.09755364366868</v>
      </c>
      <c r="L133" s="8">
        <f t="shared" si="40"/>
        <v>29784.97749868676</v>
      </c>
      <c r="M133" s="6">
        <f>L133*'[1]BE Projection'!$C$7</f>
        <v>116.59650126785542</v>
      </c>
      <c r="N133" s="7">
        <f t="shared" si="41"/>
        <v>550.8444088494831</v>
      </c>
      <c r="O133" s="16"/>
    </row>
    <row r="134" spans="1:15" x14ac:dyDescent="0.25">
      <c r="A134">
        <v>130</v>
      </c>
      <c r="B134" s="1">
        <f t="shared" si="34"/>
        <v>0.23855331309000402</v>
      </c>
      <c r="C134" s="1">
        <f>'[1]BE Projection'!$J146</f>
        <v>1.8421920158795624E-2</v>
      </c>
      <c r="D134" s="1">
        <f t="shared" si="35"/>
        <v>4.4770866196107099E-3</v>
      </c>
      <c r="E134" s="19">
        <v>5.4063599999999998E-3</v>
      </c>
      <c r="F134" s="8">
        <f t="shared" si="36"/>
        <v>122350.53475224059</v>
      </c>
      <c r="G134" s="6">
        <f>F134*'[1]BE Projection'!$C$7</f>
        <v>478.95434136189596</v>
      </c>
      <c r="H134" s="6">
        <f t="shared" si="37"/>
        <v>122829.48909360249</v>
      </c>
      <c r="I134" s="7">
        <f t="shared" si="38"/>
        <v>549.91826211458738</v>
      </c>
      <c r="J134" s="14">
        <f t="shared" si="39"/>
        <v>664.06043665608877</v>
      </c>
      <c r="K134">
        <v>591.40363942228896</v>
      </c>
      <c r="L134" s="8">
        <f t="shared" si="40"/>
        <v>29350.729591105133</v>
      </c>
      <c r="M134" s="6">
        <f>L134*'[1]BE Projection'!$C$7</f>
        <v>114.89659107960239</v>
      </c>
      <c r="N134" s="7">
        <f t="shared" si="41"/>
        <v>542.81341295712514</v>
      </c>
      <c r="O134" s="16"/>
    </row>
    <row r="135" spans="1:15" x14ac:dyDescent="0.25">
      <c r="A135">
        <v>131</v>
      </c>
      <c r="B135" s="1">
        <f t="shared" si="34"/>
        <v>0.2341587030026438</v>
      </c>
      <c r="C135" s="1">
        <f>'[1]BE Projection'!$J147</f>
        <v>1.8421920158795624E-2</v>
      </c>
      <c r="D135" s="1">
        <f t="shared" si="35"/>
        <v>4.3946100873602295E-3</v>
      </c>
      <c r="E135" s="19">
        <v>5.4063599999999998E-3</v>
      </c>
      <c r="F135" s="8">
        <f t="shared" si="36"/>
        <v>122829.48909360249</v>
      </c>
      <c r="G135" s="6">
        <f>F135*'[1]BE Projection'!$C$7</f>
        <v>480.82925969857456</v>
      </c>
      <c r="H135" s="6">
        <f t="shared" si="37"/>
        <v>123310.31835330106</v>
      </c>
      <c r="I135" s="7">
        <f t="shared" si="38"/>
        <v>541.90076891101808</v>
      </c>
      <c r="J135" s="14">
        <f t="shared" si="39"/>
        <v>666.65997273255266</v>
      </c>
      <c r="K135">
        <v>593.71875262189485</v>
      </c>
      <c r="L135" s="8">
        <f t="shared" si="40"/>
        <v>28922.81276922761</v>
      </c>
      <c r="M135" s="6">
        <f>L135*'[1]BE Projection'!$C$7</f>
        <v>113.22146460798498</v>
      </c>
      <c r="N135" s="7">
        <f t="shared" si="41"/>
        <v>534.89950438377582</v>
      </c>
      <c r="O135" s="16"/>
    </row>
    <row r="136" spans="1:15" x14ac:dyDescent="0.25">
      <c r="A136">
        <v>132</v>
      </c>
      <c r="B136" s="1">
        <f t="shared" si="34"/>
        <v>0.22984505007144196</v>
      </c>
      <c r="C136" s="1">
        <f>'[1]BE Projection'!$J148</f>
        <v>2.0488691527111413E-2</v>
      </c>
      <c r="D136" s="1">
        <f t="shared" si="35"/>
        <v>4.7976054342096655E-3</v>
      </c>
      <c r="E136" s="19">
        <v>5.4063599999999998E-3</v>
      </c>
      <c r="F136" s="8">
        <f t="shared" si="36"/>
        <v>123310.31835330106</v>
      </c>
      <c r="G136" s="6">
        <f>F136*'[1]BE Projection'!$C$7</f>
        <v>482.71151760494826</v>
      </c>
      <c r="H136" s="6">
        <f t="shared" si="37"/>
        <v>123793.029870906</v>
      </c>
      <c r="I136" s="7">
        <f t="shared" si="38"/>
        <v>593.91011282593809</v>
      </c>
      <c r="J136" s="14">
        <f t="shared" si="39"/>
        <v>669.26968497287135</v>
      </c>
      <c r="K136">
        <v>524.48675558425452</v>
      </c>
      <c r="L136" s="8">
        <f t="shared" si="40"/>
        <v>28501.13472945182</v>
      </c>
      <c r="M136" s="6">
        <f>L136*'[1]BE Projection'!$C$7</f>
        <v>111.57076052061367</v>
      </c>
      <c r="N136" s="7">
        <f t="shared" si="41"/>
        <v>586.23689654013242</v>
      </c>
      <c r="O136" s="16"/>
    </row>
    <row r="137" spans="1:15" x14ac:dyDescent="0.25">
      <c r="A137">
        <v>133</v>
      </c>
      <c r="B137" s="1">
        <f t="shared" si="34"/>
        <v>0.22513582574149471</v>
      </c>
      <c r="C137" s="1">
        <f>'[1]BE Projection'!$J149</f>
        <v>2.0488691527111413E-2</v>
      </c>
      <c r="D137" s="1">
        <f t="shared" si="35"/>
        <v>4.7092243299472515E-3</v>
      </c>
      <c r="E137" s="19">
        <v>5.4063599999999998E-3</v>
      </c>
      <c r="F137" s="8">
        <f t="shared" si="36"/>
        <v>123793.029870906</v>
      </c>
      <c r="G137" s="6">
        <f>F137*'[1]BE Projection'!$C$7</f>
        <v>484.60114381255289</v>
      </c>
      <c r="H137" s="6">
        <f t="shared" si="37"/>
        <v>124277.63101471856</v>
      </c>
      <c r="I137" s="7">
        <f t="shared" si="38"/>
        <v>585.25124364271971</v>
      </c>
      <c r="J137" s="14">
        <f t="shared" si="39"/>
        <v>671.88961321273382</v>
      </c>
      <c r="K137">
        <v>526.53991543977668</v>
      </c>
      <c r="L137" s="8">
        <f t="shared" si="40"/>
        <v>28026.468593432302</v>
      </c>
      <c r="M137" s="6">
        <f>L137*'[1]BE Projection'!$C$7</f>
        <v>109.7126288254446</v>
      </c>
      <c r="N137" s="7">
        <f t="shared" si="41"/>
        <v>576.47353781374352</v>
      </c>
      <c r="O137" s="16"/>
    </row>
    <row r="138" spans="1:15" x14ac:dyDescent="0.25">
      <c r="A138">
        <v>134</v>
      </c>
      <c r="B138" s="1">
        <f t="shared" si="34"/>
        <v>0.22052308725617573</v>
      </c>
      <c r="C138" s="1">
        <f>'[1]BE Projection'!$J150</f>
        <v>2.0488691527111413E-2</v>
      </c>
      <c r="D138" s="1">
        <f t="shared" si="35"/>
        <v>4.6127384853189941E-3</v>
      </c>
      <c r="E138" s="19">
        <v>5.4063599999999998E-3</v>
      </c>
      <c r="F138" s="8">
        <f t="shared" si="36"/>
        <v>124277.63101471856</v>
      </c>
      <c r="G138" s="6">
        <f>F138*'[1]BE Projection'!$C$7</f>
        <v>486.49816716539704</v>
      </c>
      <c r="H138" s="6">
        <f t="shared" si="37"/>
        <v>124764.12918188395</v>
      </c>
      <c r="I138" s="7">
        <f t="shared" si="38"/>
        <v>575.50430026458673</v>
      </c>
      <c r="J138" s="14">
        <f t="shared" si="39"/>
        <v>674.51979744377013</v>
      </c>
      <c r="K138">
        <v>528.60111261053601</v>
      </c>
      <c r="L138" s="8">
        <f t="shared" si="40"/>
        <v>27559.707684444002</v>
      </c>
      <c r="M138" s="6">
        <f>L138*'[1]BE Projection'!$C$7</f>
        <v>107.88544299261865</v>
      </c>
      <c r="N138" s="7">
        <f t="shared" si="41"/>
        <v>566.87278088567666</v>
      </c>
      <c r="O138" s="16"/>
    </row>
    <row r="139" spans="1:15" x14ac:dyDescent="0.25">
      <c r="A139">
        <v>135</v>
      </c>
      <c r="B139" s="1">
        <f t="shared" si="34"/>
        <v>0.21600485774677766</v>
      </c>
      <c r="C139" s="1">
        <f>'[1]BE Projection'!$J151</f>
        <v>2.0488691527111413E-2</v>
      </c>
      <c r="D139" s="1">
        <f t="shared" si="35"/>
        <v>4.5182295093980588E-3</v>
      </c>
      <c r="E139" s="19">
        <v>5.4063599999999998E-3</v>
      </c>
      <c r="F139" s="8">
        <f t="shared" si="36"/>
        <v>124764.12918188395</v>
      </c>
      <c r="G139" s="6">
        <f>F139*'[1]BE Projection'!$C$7</f>
        <v>488.402616620402</v>
      </c>
      <c r="H139" s="6">
        <f t="shared" si="37"/>
        <v>125252.53179850435</v>
      </c>
      <c r="I139" s="7">
        <f t="shared" si="38"/>
        <v>565.91968529882104</v>
      </c>
      <c r="J139" s="14">
        <f t="shared" si="39"/>
        <v>677.16027781416199</v>
      </c>
      <c r="K139">
        <v>530.67037855946808</v>
      </c>
      <c r="L139" s="8">
        <f t="shared" si="40"/>
        <v>27100.720346550941</v>
      </c>
      <c r="M139" s="6">
        <f>L139*'[1]BE Projection'!$C$7</f>
        <v>106.08868764079952</v>
      </c>
      <c r="N139" s="7">
        <f t="shared" si="41"/>
        <v>557.43191773858257</v>
      </c>
      <c r="O139" s="16"/>
    </row>
    <row r="140" spans="1:15" x14ac:dyDescent="0.25">
      <c r="A140">
        <v>136</v>
      </c>
      <c r="B140" s="1">
        <f t="shared" si="34"/>
        <v>0.21157920084804635</v>
      </c>
      <c r="C140" s="1">
        <f>'[1]BE Projection'!$J152</f>
        <v>2.0488691527111413E-2</v>
      </c>
      <c r="D140" s="1">
        <f t="shared" si="35"/>
        <v>4.4256568987313099E-3</v>
      </c>
      <c r="E140" s="19">
        <v>5.4063599999999998E-3</v>
      </c>
      <c r="F140" s="8">
        <f t="shared" si="36"/>
        <v>125252.53179850435</v>
      </c>
      <c r="G140" s="6">
        <f>F140*'[1]BE Projection'!$C$7</f>
        <v>490.31452124784431</v>
      </c>
      <c r="H140" s="6">
        <f t="shared" si="37"/>
        <v>125742.84631975219</v>
      </c>
      <c r="I140" s="7">
        <f t="shared" si="38"/>
        <v>556.49469528112218</v>
      </c>
      <c r="J140" s="14">
        <f t="shared" si="39"/>
        <v>679.81109462925542</v>
      </c>
      <c r="K140">
        <v>532.74774487267348</v>
      </c>
      <c r="L140" s="8">
        <f t="shared" si="40"/>
        <v>26649.377116453157</v>
      </c>
      <c r="M140" s="6">
        <f>L140*'[1]BE Projection'!$C$7</f>
        <v>104.3218559719606</v>
      </c>
      <c r="N140" s="7">
        <f t="shared" si="41"/>
        <v>548.14828545521584</v>
      </c>
      <c r="O140" s="16"/>
    </row>
    <row r="141" spans="1:15" x14ac:dyDescent="0.25">
      <c r="A141">
        <v>137</v>
      </c>
      <c r="B141" s="1">
        <f t="shared" si="34"/>
        <v>0.20724421986831798</v>
      </c>
      <c r="C141" s="1">
        <f>'[1]BE Projection'!$J153</f>
        <v>2.0488691527111413E-2</v>
      </c>
      <c r="D141" s="1">
        <f t="shared" si="35"/>
        <v>4.3349809797283709E-3</v>
      </c>
      <c r="E141" s="19">
        <v>5.4063599999999998E-3</v>
      </c>
      <c r="F141" s="8">
        <f t="shared" si="36"/>
        <v>125742.84631975219</v>
      </c>
      <c r="G141" s="6">
        <f>F141*'[1]BE Projection'!$C$7</f>
        <v>492.23391023179914</v>
      </c>
      <c r="H141" s="6">
        <f t="shared" si="37"/>
        <v>126235.08022998399</v>
      </c>
      <c r="I141" s="7">
        <f t="shared" si="38"/>
        <v>547.22667177146548</v>
      </c>
      <c r="J141" s="14">
        <f t="shared" si="39"/>
        <v>682.47228835217618</v>
      </c>
      <c r="K141">
        <v>534.83324325989975</v>
      </c>
      <c r="L141" s="8">
        <f t="shared" si="40"/>
        <v>26205.550686969902</v>
      </c>
      <c r="M141" s="6">
        <f>L141*'[1]BE Projection'!$C$7</f>
        <v>102.58444962843613</v>
      </c>
      <c r="N141" s="7">
        <f t="shared" si="41"/>
        <v>539.01926546732443</v>
      </c>
      <c r="O141" s="16"/>
    </row>
    <row r="142" spans="1:15" x14ac:dyDescent="0.25">
      <c r="A142">
        <v>138</v>
      </c>
      <c r="B142" s="1">
        <f t="shared" si="34"/>
        <v>0.20299805697665915</v>
      </c>
      <c r="C142" s="1">
        <f>'[1]BE Projection'!$J154</f>
        <v>2.0488691527111413E-2</v>
      </c>
      <c r="D142" s="1">
        <f t="shared" si="35"/>
        <v>4.2461628916588218E-3</v>
      </c>
      <c r="E142" s="19">
        <v>5.4063599999999998E-3</v>
      </c>
      <c r="F142" s="8">
        <f t="shared" si="36"/>
        <v>126235.08022998399</v>
      </c>
      <c r="G142" s="6">
        <f>F142*'[1]BE Projection'!$C$7</f>
        <v>494.16081287058586</v>
      </c>
      <c r="H142" s="6">
        <f t="shared" si="37"/>
        <v>126729.24104285457</v>
      </c>
      <c r="I142" s="7">
        <f t="shared" si="38"/>
        <v>538.11300060425515</v>
      </c>
      <c r="J142" s="14">
        <f t="shared" si="39"/>
        <v>685.14389960444726</v>
      </c>
      <c r="K142">
        <v>536.92690555502622</v>
      </c>
      <c r="L142" s="8">
        <f t="shared" si="40"/>
        <v>25769.115871131016</v>
      </c>
      <c r="M142" s="6">
        <f>L142*'[1]BE Projection'!$C$7</f>
        <v>100.87597855235295</v>
      </c>
      <c r="N142" s="7">
        <f t="shared" si="41"/>
        <v>530.042282817049</v>
      </c>
      <c r="O142" s="16"/>
    </row>
    <row r="143" spans="1:15" x14ac:dyDescent="0.25">
      <c r="A143">
        <v>139</v>
      </c>
      <c r="B143" s="1">
        <f t="shared" si="34"/>
        <v>0.19883889240666139</v>
      </c>
      <c r="C143" s="1">
        <f>'[1]BE Projection'!$J155</f>
        <v>2.0488691527111413E-2</v>
      </c>
      <c r="D143" s="1">
        <f t="shared" si="35"/>
        <v>4.1591645699977564E-3</v>
      </c>
      <c r="E143" s="19">
        <v>5.4063599999999998E-3</v>
      </c>
      <c r="F143" s="8">
        <f t="shared" si="36"/>
        <v>126729.24104285457</v>
      </c>
      <c r="G143" s="6">
        <f>F143*'[1]BE Projection'!$C$7</f>
        <v>496.0952585772153</v>
      </c>
      <c r="H143" s="6">
        <f t="shared" si="37"/>
        <v>127225.33630143179</v>
      </c>
      <c r="I143" s="7">
        <f t="shared" si="38"/>
        <v>529.15111115096454</v>
      </c>
      <c r="J143" s="14">
        <f t="shared" si="39"/>
        <v>687.82596916660873</v>
      </c>
      <c r="K143">
        <v>539.02876371654895</v>
      </c>
      <c r="L143" s="8">
        <f t="shared" si="40"/>
        <v>25339.949566866322</v>
      </c>
      <c r="M143" s="6">
        <f>L143*'[1]BE Projection'!$C$7</f>
        <v>99.195960847403342</v>
      </c>
      <c r="N143" s="7">
        <f t="shared" si="41"/>
        <v>521.21480543062239</v>
      </c>
      <c r="O143" s="16"/>
    </row>
    <row r="144" spans="1:15" x14ac:dyDescent="0.25">
      <c r="A144">
        <v>140</v>
      </c>
      <c r="B144" s="1">
        <f t="shared" si="34"/>
        <v>0.19476494367654881</v>
      </c>
      <c r="C144" s="1">
        <f>'[1]BE Projection'!$J156</f>
        <v>2.0488691527111413E-2</v>
      </c>
      <c r="D144" s="1">
        <f t="shared" si="35"/>
        <v>4.0739487301125815E-3</v>
      </c>
      <c r="E144" s="19">
        <v>5.4063599999999998E-3</v>
      </c>
      <c r="F144" s="8">
        <f t="shared" si="36"/>
        <v>127225.33630143179</v>
      </c>
      <c r="G144" s="6">
        <f>F144*'[1]BE Projection'!$C$7</f>
        <v>498.03727687983871</v>
      </c>
      <c r="H144" s="6">
        <f t="shared" si="37"/>
        <v>127723.37357831163</v>
      </c>
      <c r="I144" s="7">
        <f t="shared" si="38"/>
        <v>520.3384755950575</v>
      </c>
      <c r="J144" s="14">
        <f t="shared" si="39"/>
        <v>690.51853797884087</v>
      </c>
      <c r="K144">
        <v>541.13884982806917</v>
      </c>
      <c r="L144" s="8">
        <f t="shared" si="40"/>
        <v>24917.930722283101</v>
      </c>
      <c r="M144" s="6">
        <f>L144*'[1]BE Projection'!$C$7</f>
        <v>97.543922642920037</v>
      </c>
      <c r="N144" s="7">
        <f t="shared" si="41"/>
        <v>512.53434340416618</v>
      </c>
      <c r="O144" s="16"/>
    </row>
    <row r="145" spans="1:15" x14ac:dyDescent="0.25">
      <c r="A145">
        <v>141</v>
      </c>
      <c r="B145" s="1">
        <f t="shared" si="34"/>
        <v>0.19077446482526478</v>
      </c>
      <c r="C145" s="1">
        <f>'[1]BE Projection'!$J157</f>
        <v>2.0488691527111413E-2</v>
      </c>
      <c r="D145" s="1">
        <f t="shared" si="35"/>
        <v>3.9904788512840376E-3</v>
      </c>
      <c r="E145" s="19">
        <v>5.4063599999999998E-3</v>
      </c>
      <c r="F145" s="8">
        <f t="shared" si="36"/>
        <v>127723.37357831163</v>
      </c>
      <c r="G145" s="6">
        <f>F145*'[1]BE Projection'!$C$7</f>
        <v>499.98689742219835</v>
      </c>
      <c r="H145" s="6">
        <f t="shared" si="37"/>
        <v>128223.36047573383</v>
      </c>
      <c r="I145" s="7">
        <f t="shared" si="38"/>
        <v>511.67260821898543</v>
      </c>
      <c r="J145" s="14">
        <f t="shared" si="39"/>
        <v>693.22164714158839</v>
      </c>
      <c r="K145">
        <v>543.25719609878252</v>
      </c>
      <c r="L145" s="8">
        <f t="shared" si="40"/>
        <v>24502.940301521852</v>
      </c>
      <c r="M145" s="6">
        <f>L145*'[1]BE Projection'!$C$7</f>
        <v>95.919397960214795</v>
      </c>
      <c r="N145" s="7">
        <f t="shared" si="41"/>
        <v>503.99844830138062</v>
      </c>
      <c r="O145" s="16"/>
    </row>
    <row r="146" spans="1:15" x14ac:dyDescent="0.25">
      <c r="A146">
        <v>142</v>
      </c>
      <c r="B146" s="1">
        <f t="shared" si="34"/>
        <v>0.18686574566421016</v>
      </c>
      <c r="C146" s="1">
        <f>'[1]BE Projection'!$J158</f>
        <v>2.0488691527111413E-2</v>
      </c>
      <c r="D146" s="1">
        <f t="shared" si="35"/>
        <v>3.9087191610546164E-3</v>
      </c>
      <c r="E146" s="19">
        <v>5.4063599999999998E-3</v>
      </c>
      <c r="F146" s="8">
        <f t="shared" si="36"/>
        <v>128223.36047573383</v>
      </c>
      <c r="G146" s="6">
        <f>F146*'[1]BE Projection'!$C$7</f>
        <v>501.94414996408022</v>
      </c>
      <c r="H146" s="6">
        <f t="shared" si="37"/>
        <v>128725.30462569791</v>
      </c>
      <c r="I146" s="7">
        <f t="shared" si="38"/>
        <v>503.1510647030579</v>
      </c>
      <c r="J146" s="14">
        <f t="shared" si="39"/>
        <v>695.93533791618813</v>
      </c>
      <c r="K146">
        <v>545.38383486397129</v>
      </c>
      <c r="L146" s="8">
        <f t="shared" si="40"/>
        <v>24094.861251180686</v>
      </c>
      <c r="M146" s="6">
        <f>L146*'[1]BE Projection'!$C$7</f>
        <v>94.321928581143183</v>
      </c>
      <c r="N146" s="7">
        <f t="shared" si="41"/>
        <v>495.60471246293207</v>
      </c>
      <c r="O146" s="16"/>
    </row>
    <row r="147" spans="1:15" x14ac:dyDescent="0.25">
      <c r="A147">
        <v>143</v>
      </c>
      <c r="B147" s="1">
        <f t="shared" si="34"/>
        <v>0.1830371110443125</v>
      </c>
      <c r="C147" s="1">
        <f>'[1]BE Projection'!$J159</f>
        <v>2.0488691527111413E-2</v>
      </c>
      <c r="D147" s="1">
        <f t="shared" si="35"/>
        <v>3.8286346198976588E-3</v>
      </c>
      <c r="E147" s="19">
        <v>5.4063599999999998E-3</v>
      </c>
      <c r="F147" s="8">
        <f t="shared" si="36"/>
        <v>128725.30462569791</v>
      </c>
      <c r="G147" s="6">
        <f>F147*'[1]BE Projection'!$C$7</f>
        <v>503.90906438176813</v>
      </c>
      <c r="H147" s="6">
        <f t="shared" si="37"/>
        <v>129229.21369007968</v>
      </c>
      <c r="I147" s="7">
        <f t="shared" si="38"/>
        <v>494.77144143599151</v>
      </c>
      <c r="J147" s="14">
        <f t="shared" si="39"/>
        <v>698.65965172549909</v>
      </c>
      <c r="K147">
        <v>547.51879858549762</v>
      </c>
      <c r="L147" s="8">
        <f t="shared" si="40"/>
        <v>23693.578467298896</v>
      </c>
      <c r="M147" s="6">
        <f>L147*'[1]BE Projection'!$C$7</f>
        <v>92.751063918858151</v>
      </c>
      <c r="N147" s="7">
        <f t="shared" si="41"/>
        <v>487.3507683273412</v>
      </c>
      <c r="O147" s="16"/>
    </row>
    <row r="148" spans="1:15" x14ac:dyDescent="0.25">
      <c r="A148">
        <v>144</v>
      </c>
      <c r="B148" s="1">
        <f t="shared" si="34"/>
        <v>0.17928692013811195</v>
      </c>
      <c r="C148" s="1">
        <f>'[1]BE Projection'!$J160</f>
        <v>2.2760824955274428E-2</v>
      </c>
      <c r="D148" s="1">
        <f t="shared" si="35"/>
        <v>4.1660756447987248E-3</v>
      </c>
      <c r="E148" s="19">
        <v>5.4063599999999998E-3</v>
      </c>
      <c r="F148" s="8">
        <f t="shared" si="36"/>
        <v>129229.21369007968</v>
      </c>
      <c r="G148" s="6">
        <f>F148*'[1]BE Projection'!$C$7</f>
        <v>505.88167066849985</v>
      </c>
      <c r="H148" s="6">
        <f t="shared" si="37"/>
        <v>129735.09536074818</v>
      </c>
      <c r="I148" s="7">
        <f t="shared" si="38"/>
        <v>540.48622105805305</v>
      </c>
      <c r="J148" s="14">
        <f t="shared" si="39"/>
        <v>701.39463015453452</v>
      </c>
      <c r="K148">
        <v>470.54187185007783</v>
      </c>
      <c r="L148" s="8">
        <f t="shared" si="40"/>
        <v>23298.978762890412</v>
      </c>
      <c r="M148" s="6">
        <f>L148*'[1]BE Projection'!$C$7</f>
        <v>91.206360890716283</v>
      </c>
      <c r="N148" s="7">
        <f t="shared" si="41"/>
        <v>532.37990927384612</v>
      </c>
      <c r="O148" s="16"/>
    </row>
    <row r="149" spans="1:15" x14ac:dyDescent="0.25">
      <c r="A149">
        <v>145</v>
      </c>
      <c r="B149" s="1">
        <f t="shared" si="34"/>
        <v>0.17520620193207811</v>
      </c>
      <c r="C149" s="1">
        <f>'[1]BE Projection'!$J161</f>
        <v>2.2760824955274428E-2</v>
      </c>
      <c r="D149" s="1">
        <f t="shared" si="35"/>
        <v>4.080718206033832E-3</v>
      </c>
      <c r="E149" s="19">
        <v>5.4063599999999998E-3</v>
      </c>
      <c r="F149" s="8">
        <f t="shared" si="36"/>
        <v>129735.09536074818</v>
      </c>
      <c r="G149" s="6">
        <f>F149*'[1]BE Projection'!$C$7</f>
        <v>507.86199893492494</v>
      </c>
      <c r="H149" s="6">
        <f t="shared" si="37"/>
        <v>130242.9573596831</v>
      </c>
      <c r="I149" s="7">
        <f t="shared" si="38"/>
        <v>531.48480730534686</v>
      </c>
      <c r="J149" s="14">
        <f t="shared" si="39"/>
        <v>704.14031495109634</v>
      </c>
      <c r="K149">
        <v>472.38385865210608</v>
      </c>
      <c r="L149" s="8">
        <f t="shared" si="40"/>
        <v>22857.805214507283</v>
      </c>
      <c r="M149" s="6">
        <f>L149*'[1]BE Projection'!$C$7</f>
        <v>89.479339535885117</v>
      </c>
      <c r="N149" s="7">
        <f t="shared" si="41"/>
        <v>522.2991269334492</v>
      </c>
      <c r="O149" s="16"/>
    </row>
    <row r="150" spans="1:15" x14ac:dyDescent="0.25">
      <c r="A150">
        <v>146</v>
      </c>
      <c r="B150" s="1">
        <f t="shared" si="34"/>
        <v>0.17121836423882361</v>
      </c>
      <c r="C150" s="1">
        <f>'[1]BE Projection'!$J162</f>
        <v>2.2760824955274428E-2</v>
      </c>
      <c r="D150" s="1">
        <f t="shared" si="35"/>
        <v>3.9878376932544939E-3</v>
      </c>
      <c r="E150" s="19">
        <v>5.4063599999999998E-3</v>
      </c>
      <c r="F150" s="8">
        <f t="shared" si="36"/>
        <v>130242.9573596831</v>
      </c>
      <c r="G150" s="6">
        <f>F150*'[1]BE Projection'!$C$7</f>
        <v>509.85007940956427</v>
      </c>
      <c r="H150" s="6">
        <f t="shared" si="37"/>
        <v>130752.80743909266</v>
      </c>
      <c r="I150" s="7">
        <f t="shared" si="38"/>
        <v>521.42097400446028</v>
      </c>
      <c r="J150" s="14">
        <f t="shared" si="39"/>
        <v>706.89674802641298</v>
      </c>
      <c r="K150">
        <v>474.23305610972511</v>
      </c>
      <c r="L150" s="8">
        <f t="shared" si="40"/>
        <v>22424.985427109721</v>
      </c>
      <c r="M150" s="6">
        <f>L150*'[1]BE Projection'!$C$7</f>
        <v>87.785019877853543</v>
      </c>
      <c r="N150" s="7">
        <f t="shared" si="41"/>
        <v>512.40922740215944</v>
      </c>
      <c r="O150" s="16"/>
    </row>
    <row r="151" spans="1:15" x14ac:dyDescent="0.25">
      <c r="A151">
        <v>147</v>
      </c>
      <c r="B151" s="1">
        <f t="shared" si="34"/>
        <v>0.16732129302125534</v>
      </c>
      <c r="C151" s="1">
        <f>'[1]BE Projection'!$J163</f>
        <v>2.2760824955274428E-2</v>
      </c>
      <c r="D151" s="1">
        <f t="shared" si="35"/>
        <v>3.897071217568283E-3</v>
      </c>
      <c r="E151" s="19">
        <v>5.4063599999999998E-3</v>
      </c>
      <c r="F151" s="8">
        <f t="shared" si="36"/>
        <v>130752.80743909266</v>
      </c>
      <c r="G151" s="6">
        <f>F151*'[1]BE Projection'!$C$7</f>
        <v>511.8459424392716</v>
      </c>
      <c r="H151" s="6">
        <f t="shared" si="37"/>
        <v>131264.65338153194</v>
      </c>
      <c r="I151" s="7">
        <f t="shared" si="38"/>
        <v>511.54770257724533</v>
      </c>
      <c r="J151" s="14">
        <f t="shared" si="39"/>
        <v>709.66397145577901</v>
      </c>
      <c r="K151">
        <v>476.08949244982188</v>
      </c>
      <c r="L151" s="8">
        <f t="shared" si="40"/>
        <v>22000.361219585415</v>
      </c>
      <c r="M151" s="6">
        <f>L151*'[1]BE Projection'!$C$7</f>
        <v>86.122782699626612</v>
      </c>
      <c r="N151" s="7">
        <f t="shared" si="41"/>
        <v>502.70659625347878</v>
      </c>
      <c r="O151" s="16"/>
    </row>
    <row r="152" spans="1:15" x14ac:dyDescent="0.25">
      <c r="A152">
        <v>148</v>
      </c>
      <c r="B152" s="1">
        <f t="shared" si="34"/>
        <v>0.16351292235950837</v>
      </c>
      <c r="C152" s="1">
        <f>'[1]BE Projection'!$J164</f>
        <v>2.2760824955274428E-2</v>
      </c>
      <c r="D152" s="1">
        <f t="shared" si="35"/>
        <v>3.8083706617469733E-3</v>
      </c>
      <c r="E152" s="19">
        <v>5.4063599999999998E-3</v>
      </c>
      <c r="F152" s="8">
        <f t="shared" si="36"/>
        <v>131264.65338153194</v>
      </c>
      <c r="G152" s="6">
        <f>F152*'[1]BE Projection'!$C$7</f>
        <v>513.8496184896967</v>
      </c>
      <c r="H152" s="6">
        <f t="shared" si="37"/>
        <v>131778.50300002165</v>
      </c>
      <c r="I152" s="7">
        <f t="shared" si="38"/>
        <v>501.86138467421796</v>
      </c>
      <c r="J152" s="14">
        <f t="shared" si="39"/>
        <v>712.44202747919701</v>
      </c>
      <c r="K152">
        <v>477.95319600978121</v>
      </c>
      <c r="L152" s="8">
        <f t="shared" si="40"/>
        <v>21583.777406031561</v>
      </c>
      <c r="M152" s="6">
        <f>L152*'[1]BE Projection'!$C$7</f>
        <v>84.492020509279428</v>
      </c>
      <c r="N152" s="7">
        <f t="shared" si="41"/>
        <v>493.18768750122064</v>
      </c>
      <c r="O152" s="16"/>
    </row>
    <row r="153" spans="1:15" x14ac:dyDescent="0.25">
      <c r="A153">
        <v>149</v>
      </c>
      <c r="B153" s="1">
        <f t="shared" si="34"/>
        <v>0.15979123335575823</v>
      </c>
      <c r="C153" s="1">
        <f>'[1]BE Projection'!$J165</f>
        <v>2.2760824955274428E-2</v>
      </c>
      <c r="D153" s="1">
        <f t="shared" si="35"/>
        <v>3.721689003750148E-3</v>
      </c>
      <c r="E153" s="19">
        <v>5.4063599999999998E-3</v>
      </c>
      <c r="F153" s="8">
        <f t="shared" si="36"/>
        <v>131778.50300002165</v>
      </c>
      <c r="G153" s="6">
        <f>F153*'[1]BE Projection'!$C$7</f>
        <v>515.86113814575026</v>
      </c>
      <c r="H153" s="6">
        <f t="shared" si="37"/>
        <v>132294.36413816741</v>
      </c>
      <c r="I153" s="7">
        <f t="shared" si="38"/>
        <v>492.35848027113559</v>
      </c>
      <c r="J153" s="14">
        <f t="shared" si="39"/>
        <v>715.23095850202276</v>
      </c>
      <c r="K153">
        <v>479.82419523791748</v>
      </c>
      <c r="L153" s="8">
        <f t="shared" si="40"/>
        <v>21175.081739039619</v>
      </c>
      <c r="M153" s="6">
        <f>L153*'[1]BE Projection'!$C$7</f>
        <v>82.892137317939302</v>
      </c>
      <c r="N153" s="7">
        <f t="shared" si="41"/>
        <v>483.84902230357096</v>
      </c>
      <c r="O153" s="16"/>
    </row>
    <row r="154" spans="1:15" x14ac:dyDescent="0.25">
      <c r="A154">
        <v>150</v>
      </c>
      <c r="B154" s="1">
        <f t="shared" si="34"/>
        <v>0.15615425306396041</v>
      </c>
      <c r="C154" s="1">
        <f>'[1]BE Projection'!$J166</f>
        <v>2.2760824955274428E-2</v>
      </c>
      <c r="D154" s="1">
        <f t="shared" si="35"/>
        <v>3.6369802917978217E-3</v>
      </c>
      <c r="E154" s="19">
        <v>5.4063599999999998E-3</v>
      </c>
      <c r="F154" s="8">
        <f t="shared" si="36"/>
        <v>132294.36413816741</v>
      </c>
      <c r="G154" s="6">
        <f>F154*'[1]BE Projection'!$C$7</f>
        <v>517.88053211207102</v>
      </c>
      <c r="H154" s="6">
        <f t="shared" si="37"/>
        <v>132812.24467027947</v>
      </c>
      <c r="I154" s="7">
        <f t="shared" si="38"/>
        <v>483.03551637523674</v>
      </c>
      <c r="J154" s="14">
        <f t="shared" si="39"/>
        <v>718.03080709561209</v>
      </c>
      <c r="K154">
        <v>481.70251869390893</v>
      </c>
      <c r="L154" s="8">
        <f t="shared" si="40"/>
        <v>20774.124854053989</v>
      </c>
      <c r="M154" s="6">
        <f>L154*'[1]BE Projection'!$C$7</f>
        <v>81.322548421971732</v>
      </c>
      <c r="N154" s="7">
        <f t="shared" si="41"/>
        <v>474.68718769168811</v>
      </c>
      <c r="O154" s="16"/>
    </row>
    <row r="155" spans="1:15" x14ac:dyDescent="0.25">
      <c r="A155">
        <v>151</v>
      </c>
      <c r="B155" s="1">
        <f t="shared" si="34"/>
        <v>0.15260005344394997</v>
      </c>
      <c r="C155" s="1">
        <f>'[1]BE Projection'!$J167</f>
        <v>2.2760824955274428E-2</v>
      </c>
      <c r="D155" s="1">
        <f t="shared" si="35"/>
        <v>3.5541996200104285E-3</v>
      </c>
      <c r="E155" s="19">
        <v>5.4063599999999998E-3</v>
      </c>
      <c r="F155" s="8">
        <f t="shared" si="36"/>
        <v>132812.24467027947</v>
      </c>
      <c r="G155" s="6">
        <f>F155*'[1]BE Projection'!$C$7</f>
        <v>519.90783121349443</v>
      </c>
      <c r="H155" s="6">
        <f t="shared" si="37"/>
        <v>133332.15250149296</v>
      </c>
      <c r="I155" s="7">
        <f t="shared" si="38"/>
        <v>473.88908575597878</v>
      </c>
      <c r="J155" s="14">
        <f t="shared" si="39"/>
        <v>720.84161599797153</v>
      </c>
      <c r="K155">
        <v>483.58819504923372</v>
      </c>
      <c r="L155" s="8">
        <f t="shared" si="40"/>
        <v>20380.760214784274</v>
      </c>
      <c r="M155" s="6">
        <f>L155*'[1]BE Projection'!$C$7</f>
        <v>79.782680189290915</v>
      </c>
      <c r="N155" s="7">
        <f t="shared" si="41"/>
        <v>465.69883532237719</v>
      </c>
      <c r="O155" s="16"/>
    </row>
    <row r="156" spans="1:15" x14ac:dyDescent="0.25">
      <c r="A156">
        <v>152</v>
      </c>
      <c r="B156" s="1">
        <f t="shared" si="34"/>
        <v>0.14912675033934669</v>
      </c>
      <c r="C156" s="1">
        <f>'[1]BE Projection'!$J168</f>
        <v>2.2760824955274428E-2</v>
      </c>
      <c r="D156" s="1">
        <f t="shared" si="35"/>
        <v>3.473303104603268E-3</v>
      </c>
      <c r="E156" s="19">
        <v>5.4063599999999998E-3</v>
      </c>
      <c r="F156" s="8">
        <f t="shared" si="36"/>
        <v>133332.15250149296</v>
      </c>
      <c r="G156" s="6">
        <f>F156*'[1]BE Projection'!$C$7</f>
        <v>521.94306639552281</v>
      </c>
      <c r="H156" s="6">
        <f t="shared" si="37"/>
        <v>133854.09556788849</v>
      </c>
      <c r="I156" s="7">
        <f t="shared" si="38"/>
        <v>464.91584569980961</v>
      </c>
      <c r="J156" s="14">
        <f t="shared" si="39"/>
        <v>723.66342811440961</v>
      </c>
      <c r="K156">
        <v>485.48125308760791</v>
      </c>
      <c r="L156" s="8">
        <f t="shared" si="40"/>
        <v>19994.844059651186</v>
      </c>
      <c r="M156" s="6">
        <f>L156*'[1]BE Projection'!$C$7</f>
        <v>78.271969849716385</v>
      </c>
      <c r="N156" s="7">
        <f t="shared" si="41"/>
        <v>456.88068025438332</v>
      </c>
      <c r="O156" s="16"/>
    </row>
    <row r="157" spans="1:15" x14ac:dyDescent="0.25">
      <c r="A157">
        <v>153</v>
      </c>
      <c r="B157" s="1">
        <f t="shared" si="34"/>
        <v>0.14573250247872391</v>
      </c>
      <c r="C157" s="1">
        <f>'[1]BE Projection'!$J169</f>
        <v>2.2760824955274428E-2</v>
      </c>
      <c r="D157" s="1">
        <f t="shared" si="35"/>
        <v>3.3942478606227813E-3</v>
      </c>
      <c r="E157" s="19">
        <v>5.4063599999999998E-3</v>
      </c>
      <c r="F157" s="8">
        <f t="shared" si="36"/>
        <v>133854.09556788849</v>
      </c>
      <c r="G157" s="6">
        <f>F157*'[1]BE Projection'!$C$7</f>
        <v>523.98626872479826</v>
      </c>
      <c r="H157" s="6">
        <f t="shared" si="37"/>
        <v>134378.0818366133</v>
      </c>
      <c r="I157" s="7">
        <f t="shared" si="38"/>
        <v>456.11251678851772</v>
      </c>
      <c r="J157" s="14">
        <f t="shared" si="39"/>
        <v>726.49628651819262</v>
      </c>
      <c r="K157">
        <v>487.38172170542413</v>
      </c>
      <c r="L157" s="8">
        <f t="shared" si="40"/>
        <v>19616.235349246519</v>
      </c>
      <c r="M157" s="6">
        <f>L157*'[1]BE Projection'!$C$7</f>
        <v>76.78986528929947</v>
      </c>
      <c r="N157" s="7">
        <f t="shared" si="41"/>
        <v>448.22949974785536</v>
      </c>
      <c r="O157" s="16"/>
    </row>
    <row r="158" spans="1:15" x14ac:dyDescent="0.25">
      <c r="A158">
        <v>154</v>
      </c>
      <c r="B158" s="1">
        <f t="shared" si="34"/>
        <v>0.14241551049951157</v>
      </c>
      <c r="C158" s="1">
        <f>'[1]BE Projection'!$J170</f>
        <v>2.2760824955274428E-2</v>
      </c>
      <c r="D158" s="1">
        <f t="shared" si="35"/>
        <v>3.3169919792123315E-3</v>
      </c>
      <c r="E158" s="19">
        <v>5.4063599999999998E-3</v>
      </c>
      <c r="F158" s="8">
        <f t="shared" si="36"/>
        <v>134378.0818366133</v>
      </c>
      <c r="G158" s="6">
        <f>F158*'[1]BE Projection'!$C$7</f>
        <v>526.03746938957647</v>
      </c>
      <c r="H158" s="6">
        <f t="shared" si="37"/>
        <v>134904.11930600289</v>
      </c>
      <c r="I158" s="7">
        <f t="shared" si="38"/>
        <v>447.47588170071504</v>
      </c>
      <c r="J158" s="14">
        <f t="shared" si="39"/>
        <v>729.34023445120181</v>
      </c>
      <c r="K158">
        <v>489.28962991219299</v>
      </c>
      <c r="L158" s="8">
        <f t="shared" si="40"/>
        <v>19244.795714787961</v>
      </c>
      <c r="M158" s="6">
        <f>L158*'[1]BE Projection'!$C$7</f>
        <v>75.335824848544107</v>
      </c>
      <c r="N158" s="7">
        <f t="shared" si="41"/>
        <v>439.74213208654317</v>
      </c>
      <c r="O158" s="16"/>
    </row>
    <row r="159" spans="1:15" x14ac:dyDescent="0.25">
      <c r="A159">
        <v>155</v>
      </c>
      <c r="B159" s="1">
        <f t="shared" si="34"/>
        <v>0.13917401599411613</v>
      </c>
      <c r="C159" s="1">
        <f>'[1]BE Projection'!$J171</f>
        <v>2.2760824955274428E-2</v>
      </c>
      <c r="D159" s="1">
        <f t="shared" si="35"/>
        <v>3.2414945053954301E-3</v>
      </c>
      <c r="E159" s="19">
        <v>5.4063599999999998E-3</v>
      </c>
      <c r="F159" s="8">
        <f t="shared" si="36"/>
        <v>134904.11930600289</v>
      </c>
      <c r="G159" s="6">
        <f>F159*'[1]BE Projection'!$C$7</f>
        <v>528.09669970020298</v>
      </c>
      <c r="H159" s="6">
        <f t="shared" si="37"/>
        <v>135432.21600570309</v>
      </c>
      <c r="I159" s="7">
        <f t="shared" si="38"/>
        <v>439.00278403601357</v>
      </c>
      <c r="J159" s="14">
        <f t="shared" si="39"/>
        <v>732.19531532459291</v>
      </c>
      <c r="K159">
        <v>491.20500683098669</v>
      </c>
      <c r="L159" s="8">
        <f t="shared" si="40"/>
        <v>18880.389407549963</v>
      </c>
      <c r="M159" s="6">
        <f>L159*'[1]BE Projection'!$C$7</f>
        <v>73.909317124448521</v>
      </c>
      <c r="N159" s="7">
        <f t="shared" si="41"/>
        <v>431.41547542229563</v>
      </c>
      <c r="O159" s="16"/>
    </row>
    <row r="160" spans="1:15" x14ac:dyDescent="0.25">
      <c r="A160">
        <v>156</v>
      </c>
      <c r="B160" s="1">
        <f t="shared" si="34"/>
        <v>0.13600630057775148</v>
      </c>
      <c r="C160" s="1">
        <f>'[1]BE Projection'!$J172</f>
        <v>2.5260678714052021E-2</v>
      </c>
      <c r="D160" s="1">
        <f t="shared" si="35"/>
        <v>3.5156301033717049E-3</v>
      </c>
      <c r="E160" s="19">
        <v>5.4063599999999998E-3</v>
      </c>
      <c r="F160" s="8">
        <f t="shared" si="36"/>
        <v>135432.21600570309</v>
      </c>
      <c r="G160" s="6">
        <f>F160*'[1]BE Projection'!$C$7</f>
        <v>530.16399108959081</v>
      </c>
      <c r="H160" s="6">
        <f t="shared" si="37"/>
        <v>135962.37999679268</v>
      </c>
      <c r="I160" s="7">
        <f t="shared" si="38"/>
        <v>477.99343604278727</v>
      </c>
      <c r="J160" s="14">
        <f t="shared" si="39"/>
        <v>735.06157271946006</v>
      </c>
      <c r="K160">
        <v>409.66664990648758</v>
      </c>
      <c r="L160" s="8">
        <f t="shared" si="40"/>
        <v>18522.883249252118</v>
      </c>
      <c r="M160" s="6">
        <f>L160*'[1]BE Projection'!$C$7</f>
        <v>72.5098207762952</v>
      </c>
      <c r="N160" s="7">
        <f t="shared" si="41"/>
        <v>469.73224990349723</v>
      </c>
      <c r="O160" s="16"/>
    </row>
    <row r="161" spans="1:15" x14ac:dyDescent="0.25">
      <c r="A161">
        <v>157</v>
      </c>
      <c r="B161" s="1">
        <f t="shared" si="34"/>
        <v>0.13257068911577011</v>
      </c>
      <c r="C161" s="1">
        <f>'[1]BE Projection'!$J173</f>
        <v>2.5260678714052021E-2</v>
      </c>
      <c r="D161" s="1">
        <f t="shared" si="35"/>
        <v>3.435611461981368E-3</v>
      </c>
      <c r="E161" s="19">
        <v>5.4063599999999998E-3</v>
      </c>
      <c r="F161" s="8">
        <f t="shared" si="36"/>
        <v>135962.37999679268</v>
      </c>
      <c r="G161" s="6">
        <f>F161*'[1]BE Projection'!$C$7</f>
        <v>532.2393751137007</v>
      </c>
      <c r="H161" s="6">
        <f t="shared" si="37"/>
        <v>136494.61937190639</v>
      </c>
      <c r="I161" s="7">
        <f t="shared" si="38"/>
        <v>468.94247881290568</v>
      </c>
      <c r="J161" s="14">
        <f t="shared" si="39"/>
        <v>737.93905038749983</v>
      </c>
      <c r="K161">
        <v>411.27033410018532</v>
      </c>
      <c r="L161" s="8">
        <f t="shared" si="40"/>
        <v>18125.660820124918</v>
      </c>
      <c r="M161" s="6">
        <f>L161*'[1]BE Projection'!$C$7</f>
        <v>70.954850809861881</v>
      </c>
      <c r="N161" s="7">
        <f t="shared" si="41"/>
        <v>459.65886214656769</v>
      </c>
      <c r="O161" s="16"/>
    </row>
    <row r="162" spans="1:15" x14ac:dyDescent="0.25">
      <c r="A162">
        <v>158</v>
      </c>
      <c r="B162" s="1">
        <f t="shared" si="34"/>
        <v>0.12922186353111617</v>
      </c>
      <c r="C162" s="1">
        <f>'[1]BE Projection'!$J174</f>
        <v>2.5260678714052021E-2</v>
      </c>
      <c r="D162" s="1">
        <f t="shared" si="35"/>
        <v>3.3488255846539417E-3</v>
      </c>
      <c r="E162" s="19">
        <v>5.4063599999999998E-3</v>
      </c>
      <c r="F162" s="8">
        <f t="shared" si="36"/>
        <v>136494.61937190639</v>
      </c>
      <c r="G162" s="6">
        <f>F162*'[1]BE Projection'!$C$7</f>
        <v>534.32288345202278</v>
      </c>
      <c r="H162" s="6">
        <f t="shared" si="37"/>
        <v>137028.94225535842</v>
      </c>
      <c r="I162" s="7">
        <f t="shared" si="38"/>
        <v>458.88602766281184</v>
      </c>
      <c r="J162" s="14">
        <f t="shared" si="39"/>
        <v>740.82779225167951</v>
      </c>
      <c r="K162">
        <v>412.88029608826457</v>
      </c>
      <c r="L162" s="8">
        <f t="shared" si="40"/>
        <v>17736.956808788214</v>
      </c>
      <c r="M162" s="6">
        <f>L162*'[1]BE Projection'!$C$7</f>
        <v>69.433227107019107</v>
      </c>
      <c r="N162" s="7">
        <f t="shared" si="41"/>
        <v>449.80149775384672</v>
      </c>
      <c r="O162" s="16"/>
    </row>
    <row r="163" spans="1:15" x14ac:dyDescent="0.25">
      <c r="A163">
        <v>159</v>
      </c>
      <c r="B163" s="1">
        <f t="shared" si="34"/>
        <v>0.12595763155362558</v>
      </c>
      <c r="C163" s="1">
        <f>'[1]BE Projection'!$J175</f>
        <v>2.5260678714052021E-2</v>
      </c>
      <c r="D163" s="1">
        <f t="shared" si="35"/>
        <v>3.2642319774906013E-3</v>
      </c>
      <c r="E163" s="19">
        <v>5.4063599999999998E-3</v>
      </c>
      <c r="F163" s="8">
        <f t="shared" si="36"/>
        <v>137028.94225535842</v>
      </c>
      <c r="G163" s="6">
        <f>F163*'[1]BE Projection'!$C$7</f>
        <v>536.41454790805949</v>
      </c>
      <c r="H163" s="6">
        <f t="shared" si="37"/>
        <v>137565.35680326648</v>
      </c>
      <c r="I163" s="7">
        <f t="shared" si="38"/>
        <v>449.04523667212669</v>
      </c>
      <c r="J163" s="14">
        <f t="shared" si="39"/>
        <v>743.72784240690771</v>
      </c>
      <c r="K163">
        <v>414.4965604458273</v>
      </c>
      <c r="L163" s="8">
        <f t="shared" si="40"/>
        <v>17356.588538141386</v>
      </c>
      <c r="M163" s="6">
        <f>L163*'[1]BE Projection'!$C$7</f>
        <v>67.944234558588263</v>
      </c>
      <c r="N163" s="7">
        <f t="shared" si="41"/>
        <v>440.15552411364411</v>
      </c>
      <c r="O163" s="16"/>
    </row>
    <row r="164" spans="1:15" x14ac:dyDescent="0.25">
      <c r="A164">
        <v>160</v>
      </c>
      <c r="B164" s="1">
        <f t="shared" si="34"/>
        <v>0.1227758562913665</v>
      </c>
      <c r="C164" s="1">
        <f>'[1]BE Projection'!$J176</f>
        <v>2.5260678714052021E-2</v>
      </c>
      <c r="D164" s="1">
        <f t="shared" si="35"/>
        <v>3.1817752622590768E-3</v>
      </c>
      <c r="E164" s="19">
        <v>5.4063599999999998E-3</v>
      </c>
      <c r="F164" s="8">
        <f t="shared" si="36"/>
        <v>137565.35680326648</v>
      </c>
      <c r="G164" s="6">
        <f>F164*'[1]BE Projection'!$C$7</f>
        <v>538.51440040981197</v>
      </c>
      <c r="H164" s="6">
        <f t="shared" si="37"/>
        <v>138103.8712036763</v>
      </c>
      <c r="I164" s="7">
        <f t="shared" si="38"/>
        <v>439.41548101807092</v>
      </c>
      <c r="J164" s="14">
        <f t="shared" si="39"/>
        <v>746.63924512070741</v>
      </c>
      <c r="K164">
        <v>416.11915184417711</v>
      </c>
      <c r="L164" s="8">
        <f t="shared" si="40"/>
        <v>16984.37724858633</v>
      </c>
      <c r="M164" s="6">
        <f>L164*'[1]BE Projection'!$C$7</f>
        <v>66.487173390876137</v>
      </c>
      <c r="N164" s="7">
        <f t="shared" si="41"/>
        <v>430.71640796042652</v>
      </c>
      <c r="O164" s="16"/>
    </row>
    <row r="165" spans="1:15" x14ac:dyDescent="0.25">
      <c r="A165">
        <v>161</v>
      </c>
      <c r="B165" s="1">
        <f t="shared" si="34"/>
        <v>0.11967445483174767</v>
      </c>
      <c r="C165" s="1">
        <f>'[1]BE Projection'!$J177</f>
        <v>2.5260678714052021E-2</v>
      </c>
      <c r="D165" s="1">
        <f t="shared" si="35"/>
        <v>3.1014014596188319E-3</v>
      </c>
      <c r="E165" s="19">
        <v>5.4063599999999998E-3</v>
      </c>
      <c r="F165" s="8">
        <f t="shared" si="36"/>
        <v>138103.8712036763</v>
      </c>
      <c r="G165" s="6">
        <f>F165*'[1]BE Projection'!$C$7</f>
        <v>540.62247301026673</v>
      </c>
      <c r="H165" s="6">
        <f t="shared" si="37"/>
        <v>138644.49367668657</v>
      </c>
      <c r="I165" s="7">
        <f t="shared" si="38"/>
        <v>429.99223505698961</v>
      </c>
      <c r="J165" s="14">
        <f t="shared" si="39"/>
        <v>749.56204483389115</v>
      </c>
      <c r="K165">
        <v>417.74809505119617</v>
      </c>
      <c r="L165" s="8">
        <f t="shared" si="40"/>
        <v>16620.148014016781</v>
      </c>
      <c r="M165" s="6">
        <f>L165*'[1]BE Projection'!$C$7</f>
        <v>65.061358836806022</v>
      </c>
      <c r="N165" s="7">
        <f t="shared" si="41"/>
        <v>421.47971324434388</v>
      </c>
      <c r="O165" s="16"/>
    </row>
    <row r="166" spans="1:15" x14ac:dyDescent="0.25">
      <c r="A166">
        <v>162</v>
      </c>
      <c r="B166" s="1">
        <f t="shared" si="34"/>
        <v>0.11665139687796357</v>
      </c>
      <c r="C166" s="1">
        <f>'[1]BE Projection'!$J178</f>
        <v>2.5260678714052021E-2</v>
      </c>
      <c r="D166" s="1">
        <f t="shared" si="35"/>
        <v>3.0230579537841086E-3</v>
      </c>
      <c r="E166" s="19">
        <v>5.4063599999999998E-3</v>
      </c>
      <c r="F166" s="8">
        <f t="shared" si="36"/>
        <v>138644.49367668657</v>
      </c>
      <c r="G166" s="6">
        <f>F166*'[1]BE Projection'!$C$7</f>
        <v>542.73879788788508</v>
      </c>
      <c r="H166" s="6">
        <f t="shared" si="37"/>
        <v>139187.23247457447</v>
      </c>
      <c r="I166" s="7">
        <f t="shared" si="38"/>
        <v>420.77107019746012</v>
      </c>
      <c r="J166" s="14">
        <f t="shared" si="39"/>
        <v>752.49628616124039</v>
      </c>
      <c r="K166">
        <v>419.38341493172311</v>
      </c>
      <c r="L166" s="8">
        <f t="shared" si="40"/>
        <v>16263.729659609244</v>
      </c>
      <c r="M166" s="6">
        <f>L166*'[1]BE Projection'!$C$7</f>
        <v>63.666120814101532</v>
      </c>
      <c r="N166" s="7">
        <f t="shared" si="41"/>
        <v>412.44109904644279</v>
      </c>
      <c r="O166" s="16"/>
    </row>
    <row r="167" spans="1:15" x14ac:dyDescent="0.25">
      <c r="A167">
        <v>163</v>
      </c>
      <c r="B167" s="1">
        <f t="shared" si="34"/>
        <v>0.11370470341988397</v>
      </c>
      <c r="C167" s="1">
        <f>'[1]BE Projection'!$J179</f>
        <v>2.5260678714052021E-2</v>
      </c>
      <c r="D167" s="1">
        <f t="shared" si="35"/>
        <v>2.9466934580796088E-3</v>
      </c>
      <c r="E167" s="19">
        <v>5.4063599999999998E-3</v>
      </c>
      <c r="F167" s="8">
        <f t="shared" si="36"/>
        <v>139187.23247457447</v>
      </c>
      <c r="G167" s="6">
        <f>F167*'[1]BE Projection'!$C$7</f>
        <v>544.86340734709449</v>
      </c>
      <c r="H167" s="6">
        <f t="shared" si="37"/>
        <v>139732.09588192156</v>
      </c>
      <c r="I167" s="7">
        <f t="shared" si="38"/>
        <v>411.74765281901091</v>
      </c>
      <c r="J167" s="14">
        <f t="shared" si="39"/>
        <v>755.4420138921854</v>
      </c>
      <c r="K167">
        <v>421.02513644793271</v>
      </c>
      <c r="L167" s="8">
        <f t="shared" si="40"/>
        <v>15914.954681376903</v>
      </c>
      <c r="M167" s="6">
        <f>L167*'[1]BE Projection'!$C$7</f>
        <v>62.300803610371688</v>
      </c>
      <c r="N167" s="7">
        <f t="shared" si="41"/>
        <v>403.59631753858895</v>
      </c>
      <c r="O167" s="16"/>
    </row>
    <row r="168" spans="1:15" x14ac:dyDescent="0.25">
      <c r="A168">
        <v>164</v>
      </c>
      <c r="B168" s="1">
        <f t="shared" si="34"/>
        <v>0.11083244543851771</v>
      </c>
      <c r="C168" s="1">
        <f>'[1]BE Projection'!$J180</f>
        <v>2.5260678714052021E-2</v>
      </c>
      <c r="D168" s="1">
        <f t="shared" si="35"/>
        <v>2.8722579813662608E-3</v>
      </c>
      <c r="E168" s="19">
        <v>5.4063599999999998E-3</v>
      </c>
      <c r="F168" s="8">
        <f t="shared" si="36"/>
        <v>139732.09588192156</v>
      </c>
      <c r="G168" s="6">
        <f>F168*'[1]BE Projection'!$C$7</f>
        <v>546.99633381878164</v>
      </c>
      <c r="H168" s="6">
        <f t="shared" si="37"/>
        <v>140279.09221574035</v>
      </c>
      <c r="I168" s="7">
        <f t="shared" si="38"/>
        <v>402.91774223547395</v>
      </c>
      <c r="J168" s="14">
        <f t="shared" si="39"/>
        <v>758.39927299148997</v>
      </c>
      <c r="K168">
        <v>422.67328465971678</v>
      </c>
      <c r="L168" s="8">
        <f t="shared" si="40"/>
        <v>15573.659167448684</v>
      </c>
      <c r="M168" s="6">
        <f>L168*'[1]BE Projection'!$C$7</f>
        <v>60.964765574949318</v>
      </c>
      <c r="N168" s="7">
        <f t="shared" si="41"/>
        <v>394.94121198713839</v>
      </c>
      <c r="O168" s="16"/>
    </row>
    <row r="169" spans="1:15" x14ac:dyDescent="0.25">
      <c r="A169">
        <v>165</v>
      </c>
      <c r="B169" s="1">
        <f t="shared" si="34"/>
        <v>0.10803274264320262</v>
      </c>
      <c r="C169" s="1">
        <f>'[1]BE Projection'!$J181</f>
        <v>2.5260678714052021E-2</v>
      </c>
      <c r="D169" s="1">
        <f t="shared" si="35"/>
        <v>2.7997027953150962E-3</v>
      </c>
      <c r="E169" s="19">
        <v>5.4063599999999998E-3</v>
      </c>
      <c r="F169" s="8">
        <f t="shared" si="36"/>
        <v>140279.09221574035</v>
      </c>
      <c r="G169" s="6">
        <f>F169*'[1]BE Projection'!$C$7</f>
        <v>549.13760986078728</v>
      </c>
      <c r="H169" s="6">
        <f t="shared" si="37"/>
        <v>140828.22982560116</v>
      </c>
      <c r="I169" s="7">
        <f t="shared" si="38"/>
        <v>394.27718870201238</v>
      </c>
      <c r="J169" s="14">
        <f t="shared" si="39"/>
        <v>761.36810859993705</v>
      </c>
      <c r="K169">
        <v>424.32788472506712</v>
      </c>
      <c r="L169" s="8">
        <f t="shared" si="40"/>
        <v>15239.682721036495</v>
      </c>
      <c r="M169" s="6">
        <f>L169*'[1]BE Projection'!$C$7</f>
        <v>59.657378817338049</v>
      </c>
      <c r="N169" s="7">
        <f t="shared" si="41"/>
        <v>386.47171479942023</v>
      </c>
      <c r="O169" s="16"/>
    </row>
    <row r="170" spans="1:15" x14ac:dyDescent="0.25">
      <c r="A170">
        <v>166</v>
      </c>
      <c r="B170" s="1">
        <f t="shared" ref="B170:B233" si="42">B169*(1-C169)</f>
        <v>0.10530376224069481</v>
      </c>
      <c r="C170" s="1">
        <f>'[1]BE Projection'!$J182</f>
        <v>2.5260678714052021E-2</v>
      </c>
      <c r="D170" s="1">
        <f t="shared" ref="D170:D233" si="43">B169*C170</f>
        <v>2.7289804025078085E-3</v>
      </c>
      <c r="E170" s="19">
        <v>5.4063599999999998E-3</v>
      </c>
      <c r="F170" s="8">
        <f t="shared" ref="F170:F233" si="44">H169</f>
        <v>140828.22982560116</v>
      </c>
      <c r="G170" s="6">
        <f>F170*'[1]BE Projection'!$C$7</f>
        <v>551.28726815840344</v>
      </c>
      <c r="H170" s="6">
        <f t="shared" ref="H170:H233" si="45">SUM(F170:G170)</f>
        <v>141379.51709375955</v>
      </c>
      <c r="I170" s="7">
        <f t="shared" ref="I170:I233" si="46">H170*D170</f>
        <v>385.82193146488754</v>
      </c>
      <c r="J170" s="14">
        <f t="shared" ref="J170:J233" si="47">H170*E170</f>
        <v>764.34856603501783</v>
      </c>
      <c r="K170">
        <v>425.98896190045849</v>
      </c>
      <c r="L170" s="8">
        <f t="shared" ref="L170:L233" si="48">L169+M169-N169</f>
        <v>14912.868385054413</v>
      </c>
      <c r="M170" s="6">
        <f>L170*'[1]BE Projection'!$C$7</f>
        <v>58.378028912125991</v>
      </c>
      <c r="N170" s="7">
        <f t="shared" ref="N170:N233" si="49">(L170+M170)*C170</f>
        <v>378.18384561211218</v>
      </c>
      <c r="O170" s="16"/>
    </row>
    <row r="171" spans="1:15" x14ac:dyDescent="0.25">
      <c r="A171">
        <v>167</v>
      </c>
      <c r="B171" s="1">
        <f t="shared" si="42"/>
        <v>0.10264371773535169</v>
      </c>
      <c r="C171" s="1">
        <f>'[1]BE Projection'!$J183</f>
        <v>2.5260678714052021E-2</v>
      </c>
      <c r="D171" s="1">
        <f t="shared" si="43"/>
        <v>2.660044505343114E-3</v>
      </c>
      <c r="E171" s="19">
        <v>5.4063599999999998E-3</v>
      </c>
      <c r="F171" s="8">
        <f t="shared" si="44"/>
        <v>141379.51709375955</v>
      </c>
      <c r="G171" s="6">
        <f>F171*'[1]BE Projection'!$C$7</f>
        <v>553.44534152487199</v>
      </c>
      <c r="H171" s="6">
        <f t="shared" si="45"/>
        <v>141932.96243528443</v>
      </c>
      <c r="I171" s="7">
        <f t="shared" si="46"/>
        <v>377.54799685304891</v>
      </c>
      <c r="J171" s="14">
        <f t="shared" si="47"/>
        <v>767.3406907916243</v>
      </c>
      <c r="K171">
        <v>427.65654154123581</v>
      </c>
      <c r="L171" s="8">
        <f t="shared" si="48"/>
        <v>14593.062568354428</v>
      </c>
      <c r="M171" s="6">
        <f>L171*'[1]BE Projection'!$C$7</f>
        <v>57.126114610227617</v>
      </c>
      <c r="N171" s="7">
        <f t="shared" si="49"/>
        <v>370.07370942061107</v>
      </c>
      <c r="O171" s="16"/>
    </row>
    <row r="172" spans="1:15" x14ac:dyDescent="0.25">
      <c r="A172">
        <v>168</v>
      </c>
      <c r="B172" s="1">
        <f t="shared" si="42"/>
        <v>0.10005086775962313</v>
      </c>
      <c r="C172" s="1">
        <f>'[1]BE Projection'!$J184</f>
        <v>2.7997881522380696E-2</v>
      </c>
      <c r="D172" s="1">
        <f t="shared" si="43"/>
        <v>2.8738066481710628E-3</v>
      </c>
      <c r="E172" s="19">
        <v>5.4063599999999998E-3</v>
      </c>
      <c r="F172" s="8">
        <f t="shared" si="44"/>
        <v>141932.96243528443</v>
      </c>
      <c r="G172" s="6">
        <f>F172*'[1]BE Projection'!$C$7</f>
        <v>555.6118629018863</v>
      </c>
      <c r="H172" s="6">
        <f t="shared" si="45"/>
        <v>142488.57429818631</v>
      </c>
      <c r="I172" s="7">
        <f t="shared" si="46"/>
        <v>409.48461210654426</v>
      </c>
      <c r="J172" s="14">
        <f t="shared" si="47"/>
        <v>770.34452854274252</v>
      </c>
      <c r="K172">
        <v>344.99197853420083</v>
      </c>
      <c r="L172" s="8">
        <f t="shared" si="48"/>
        <v>14280.114973544045</v>
      </c>
      <c r="M172" s="6">
        <f>L172*'[1]BE Projection'!$C$7</f>
        <v>55.901047556317977</v>
      </c>
      <c r="N172" s="7">
        <f t="shared" si="49"/>
        <v>401.37807806171946</v>
      </c>
      <c r="O172" s="16"/>
    </row>
    <row r="173" spans="1:15" x14ac:dyDescent="0.25">
      <c r="A173">
        <v>169</v>
      </c>
      <c r="B173" s="1">
        <f t="shared" si="42"/>
        <v>9.724965541787782E-2</v>
      </c>
      <c r="C173" s="1">
        <f>'[1]BE Projection'!$J185</f>
        <v>2.7997881522380696E-2</v>
      </c>
      <c r="D173" s="1">
        <f t="shared" si="43"/>
        <v>2.8012123417453069E-3</v>
      </c>
      <c r="E173" s="19">
        <v>5.4063599999999998E-3</v>
      </c>
      <c r="F173" s="8">
        <f t="shared" si="44"/>
        <v>142488.57429818631</v>
      </c>
      <c r="G173" s="6">
        <f>F173*'[1]BE Projection'!$C$7</f>
        <v>557.78686536009297</v>
      </c>
      <c r="H173" s="6">
        <f t="shared" si="45"/>
        <v>143046.36116354642</v>
      </c>
      <c r="I173" s="7">
        <f t="shared" si="46"/>
        <v>400.70323233308278</v>
      </c>
      <c r="J173" s="14">
        <f t="shared" si="47"/>
        <v>773.36012514015079</v>
      </c>
      <c r="K173">
        <v>346.34248676584258</v>
      </c>
      <c r="L173" s="8">
        <f t="shared" si="48"/>
        <v>13934.637943038642</v>
      </c>
      <c r="M173" s="6">
        <f>L173*'[1]BE Projection'!$C$7</f>
        <v>54.548640524044266</v>
      </c>
      <c r="N173" s="7">
        <f t="shared" si="49"/>
        <v>391.66758856106571</v>
      </c>
      <c r="O173" s="16"/>
    </row>
    <row r="174" spans="1:15" x14ac:dyDescent="0.25">
      <c r="A174">
        <v>170</v>
      </c>
      <c r="B174" s="1">
        <f t="shared" si="42"/>
        <v>9.4526871087395728E-2</v>
      </c>
      <c r="C174" s="1">
        <f>'[1]BE Projection'!$J186</f>
        <v>2.7997881522380696E-2</v>
      </c>
      <c r="D174" s="1">
        <f t="shared" si="43"/>
        <v>2.7227843304820911E-3</v>
      </c>
      <c r="E174" s="19">
        <v>5.4063599999999998E-3</v>
      </c>
      <c r="F174" s="8">
        <f t="shared" si="44"/>
        <v>143046.36116354642</v>
      </c>
      <c r="G174" s="6">
        <f>F174*'[1]BE Projection'!$C$7</f>
        <v>559.97038209959771</v>
      </c>
      <c r="H174" s="6">
        <f t="shared" si="45"/>
        <v>143606.33154564601</v>
      </c>
      <c r="I174" s="7">
        <f t="shared" si="46"/>
        <v>391.00906929050097</v>
      </c>
      <c r="J174" s="14">
        <f t="shared" si="47"/>
        <v>776.38752661511876</v>
      </c>
      <c r="K174">
        <v>347.69828170731301</v>
      </c>
      <c r="L174" s="8">
        <f t="shared" si="48"/>
        <v>13597.518995001621</v>
      </c>
      <c r="M174" s="6">
        <f>L174*'[1]BE Projection'!$C$7</f>
        <v>53.22895210547992</v>
      </c>
      <c r="N174" s="7">
        <f t="shared" si="49"/>
        <v>382.19202371498608</v>
      </c>
      <c r="O174" s="16"/>
    </row>
    <row r="175" spans="1:15" x14ac:dyDescent="0.25">
      <c r="A175">
        <v>171</v>
      </c>
      <c r="B175" s="1">
        <f t="shared" si="42"/>
        <v>9.1880318950009462E-2</v>
      </c>
      <c r="C175" s="1">
        <f>'[1]BE Projection'!$J187</f>
        <v>2.7997881522380696E-2</v>
      </c>
      <c r="D175" s="1">
        <f t="shared" si="43"/>
        <v>2.646552137386259E-3</v>
      </c>
      <c r="E175" s="19">
        <v>5.4063599999999998E-3</v>
      </c>
      <c r="F175" s="8">
        <f t="shared" si="44"/>
        <v>143606.33154564601</v>
      </c>
      <c r="G175" s="6">
        <f>F175*'[1]BE Projection'!$C$7</f>
        <v>562.16244645047107</v>
      </c>
      <c r="H175" s="6">
        <f t="shared" si="45"/>
        <v>144168.49399209648</v>
      </c>
      <c r="I175" s="7">
        <f t="shared" si="46"/>
        <v>381.54943591854101</v>
      </c>
      <c r="J175" s="14">
        <f t="shared" si="47"/>
        <v>779.42677917911067</v>
      </c>
      <c r="K175">
        <v>349.05938405400673</v>
      </c>
      <c r="L175" s="8">
        <f t="shared" si="48"/>
        <v>13268.555923392114</v>
      </c>
      <c r="M175" s="6">
        <f>L175*'[1]BE Projection'!$C$7</f>
        <v>51.941190743307104</v>
      </c>
      <c r="N175" s="7">
        <f t="shared" si="49"/>
        <v>372.94570002077751</v>
      </c>
      <c r="O175" s="16"/>
    </row>
    <row r="176" spans="1:15" x14ac:dyDescent="0.25">
      <c r="A176">
        <v>172</v>
      </c>
      <c r="B176" s="1">
        <f t="shared" si="42"/>
        <v>8.9307864665808548E-2</v>
      </c>
      <c r="C176" s="1">
        <f>'[1]BE Projection'!$J188</f>
        <v>2.7997881522380696E-2</v>
      </c>
      <c r="D176" s="1">
        <f t="shared" si="43"/>
        <v>2.572454284200915E-3</v>
      </c>
      <c r="E176" s="19">
        <v>5.4063599999999998E-3</v>
      </c>
      <c r="F176" s="8">
        <f t="shared" si="44"/>
        <v>144168.49399209648</v>
      </c>
      <c r="G176" s="6">
        <f>F176*'[1]BE Projection'!$C$7</f>
        <v>564.36309187325821</v>
      </c>
      <c r="H176" s="6">
        <f t="shared" si="45"/>
        <v>144732.85708396975</v>
      </c>
      <c r="I176" s="7">
        <f t="shared" si="46"/>
        <v>372.31865827029674</v>
      </c>
      <c r="J176" s="14">
        <f t="shared" si="47"/>
        <v>782.47792922449071</v>
      </c>
      <c r="K176">
        <v>350.42581458233269</v>
      </c>
      <c r="L176" s="8">
        <f t="shared" si="48"/>
        <v>12947.551414114645</v>
      </c>
      <c r="M176" s="6">
        <f>L176*'[1]BE Projection'!$C$7</f>
        <v>50.684584030254932</v>
      </c>
      <c r="N176" s="7">
        <f t="shared" si="49"/>
        <v>363.92307147600474</v>
      </c>
      <c r="O176" s="16"/>
    </row>
    <row r="177" spans="1:15" x14ac:dyDescent="0.25">
      <c r="A177">
        <v>173</v>
      </c>
      <c r="B177" s="1">
        <f t="shared" si="42"/>
        <v>8.680743365187843E-2</v>
      </c>
      <c r="C177" s="1">
        <f>'[1]BE Projection'!$J189</f>
        <v>2.7997881522380696E-2</v>
      </c>
      <c r="D177" s="1">
        <f t="shared" si="43"/>
        <v>2.5004310139301171E-3</v>
      </c>
      <c r="E177" s="19">
        <v>5.4063599999999998E-3</v>
      </c>
      <c r="F177" s="8">
        <f t="shared" si="44"/>
        <v>144732.85708396975</v>
      </c>
      <c r="G177" s="6">
        <f>F177*'[1]BE Projection'!$C$7</f>
        <v>566.57235195948897</v>
      </c>
      <c r="H177" s="6">
        <f t="shared" si="45"/>
        <v>145299.42943592923</v>
      </c>
      <c r="I177" s="7">
        <f t="shared" si="46"/>
        <v>363.31119966794802</v>
      </c>
      <c r="J177" s="14">
        <f t="shared" si="47"/>
        <v>785.5410233252303</v>
      </c>
      <c r="K177">
        <v>351.79759415003161</v>
      </c>
      <c r="L177" s="8">
        <f t="shared" si="48"/>
        <v>12634.312926668896</v>
      </c>
      <c r="M177" s="6">
        <f>L177*'[1]BE Projection'!$C$7</f>
        <v>49.45837824580471</v>
      </c>
      <c r="N177" s="7">
        <f t="shared" si="49"/>
        <v>355.11872625197378</v>
      </c>
      <c r="O177" s="16"/>
    </row>
    <row r="178" spans="1:15" x14ac:dyDescent="0.25">
      <c r="A178">
        <v>174</v>
      </c>
      <c r="B178" s="1">
        <f t="shared" si="42"/>
        <v>8.4377009409231207E-2</v>
      </c>
      <c r="C178" s="1">
        <f>'[1]BE Projection'!$J190</f>
        <v>2.7997881522380696E-2</v>
      </c>
      <c r="D178" s="1">
        <f t="shared" si="43"/>
        <v>2.4304242426472153E-3</v>
      </c>
      <c r="E178" s="19">
        <v>5.4063599999999998E-3</v>
      </c>
      <c r="F178" s="8">
        <f t="shared" si="44"/>
        <v>145299.42943592923</v>
      </c>
      <c r="G178" s="6">
        <f>F178*'[1]BE Projection'!$C$7</f>
        <v>568.79026043219096</v>
      </c>
      <c r="H178" s="6">
        <f t="shared" si="45"/>
        <v>145868.21969636143</v>
      </c>
      <c r="I178" s="7">
        <f t="shared" si="46"/>
        <v>354.52165738182686</v>
      </c>
      <c r="J178" s="14">
        <f t="shared" si="47"/>
        <v>788.61610823762055</v>
      </c>
      <c r="K178">
        <v>353.17474369649352</v>
      </c>
      <c r="L178" s="8">
        <f t="shared" si="48"/>
        <v>12328.652578662726</v>
      </c>
      <c r="M178" s="6">
        <f>L178*'[1]BE Projection'!$C$7</f>
        <v>48.261837904103736</v>
      </c>
      <c r="N178" s="7">
        <f t="shared" si="49"/>
        <v>346.52738344768369</v>
      </c>
      <c r="O178" s="16"/>
    </row>
    <row r="179" spans="1:15" x14ac:dyDescent="0.25">
      <c r="A179">
        <v>175</v>
      </c>
      <c r="B179" s="1">
        <f t="shared" si="42"/>
        <v>8.2014631896578746E-2</v>
      </c>
      <c r="C179" s="1">
        <f>'[1]BE Projection'!$J191</f>
        <v>2.7997881522380696E-2</v>
      </c>
      <c r="D179" s="1">
        <f t="shared" si="43"/>
        <v>2.3623775126524567E-3</v>
      </c>
      <c r="E179" s="19">
        <v>5.4063599999999998E-3</v>
      </c>
      <c r="F179" s="8">
        <f t="shared" si="44"/>
        <v>145868.21969636143</v>
      </c>
      <c r="G179" s="6">
        <f>F179*'[1]BE Projection'!$C$7</f>
        <v>571.01685114640429</v>
      </c>
      <c r="H179" s="6">
        <f t="shared" si="45"/>
        <v>146439.23654750784</v>
      </c>
      <c r="I179" s="7">
        <f t="shared" si="46"/>
        <v>345.94475938982629</v>
      </c>
      <c r="J179" s="14">
        <f t="shared" si="47"/>
        <v>791.70323090098441</v>
      </c>
      <c r="K179">
        <v>354.5572842430783</v>
      </c>
      <c r="L179" s="8">
        <f t="shared" si="48"/>
        <v>12030.387033119147</v>
      </c>
      <c r="M179" s="6">
        <f>L179*'[1]BE Projection'!$C$7</f>
        <v>47.094245312816298</v>
      </c>
      <c r="N179" s="7">
        <f t="shared" si="49"/>
        <v>338.14388992230903</v>
      </c>
      <c r="O179" s="16"/>
    </row>
    <row r="180" spans="1:15" x14ac:dyDescent="0.25">
      <c r="A180">
        <v>176</v>
      </c>
      <c r="B180" s="1">
        <f t="shared" si="42"/>
        <v>7.9718395949636672E-2</v>
      </c>
      <c r="C180" s="1">
        <f>'[1]BE Projection'!$J192</f>
        <v>2.7997881522380696E-2</v>
      </c>
      <c r="D180" s="1">
        <f t="shared" si="43"/>
        <v>2.2962359469420766E-3</v>
      </c>
      <c r="E180" s="19">
        <v>5.4063599999999998E-3</v>
      </c>
      <c r="F180" s="8">
        <f t="shared" si="44"/>
        <v>146439.23654750784</v>
      </c>
      <c r="G180" s="6">
        <f>F180*'[1]BE Projection'!$C$7</f>
        <v>573.2521580896979</v>
      </c>
      <c r="H180" s="6">
        <f t="shared" si="45"/>
        <v>147012.48870559753</v>
      </c>
      <c r="I180" s="7">
        <f t="shared" si="46"/>
        <v>337.57536121520906</v>
      </c>
      <c r="J180" s="14">
        <f t="shared" si="47"/>
        <v>794.80243843839423</v>
      </c>
      <c r="K180">
        <v>355.94523689343629</v>
      </c>
      <c r="L180" s="8">
        <f t="shared" si="48"/>
        <v>11739.337388509653</v>
      </c>
      <c r="M180" s="6">
        <f>L180*'[1]BE Projection'!$C$7</f>
        <v>45.954900142647354</v>
      </c>
      <c r="N180" s="7">
        <f t="shared" si="49"/>
        <v>329.96321720431399</v>
      </c>
      <c r="O180" s="16"/>
    </row>
    <row r="181" spans="1:15" x14ac:dyDescent="0.25">
      <c r="A181">
        <v>177</v>
      </c>
      <c r="B181" s="1">
        <f t="shared" si="42"/>
        <v>7.7486449744684507E-2</v>
      </c>
      <c r="C181" s="1">
        <f>'[1]BE Projection'!$J193</f>
        <v>2.7997881522380696E-2</v>
      </c>
      <c r="D181" s="1">
        <f t="shared" si="43"/>
        <v>2.2319462049521606E-3</v>
      </c>
      <c r="E181" s="19">
        <v>5.4063599999999998E-3</v>
      </c>
      <c r="F181" s="8">
        <f t="shared" si="44"/>
        <v>147012.48870559753</v>
      </c>
      <c r="G181" s="6">
        <f>F181*'[1]BE Projection'!$C$7</f>
        <v>575.496215382689</v>
      </c>
      <c r="H181" s="6">
        <f t="shared" si="45"/>
        <v>147587.98492098021</v>
      </c>
      <c r="I181" s="7">
        <f t="shared" si="46"/>
        <v>329.40844284091844</v>
      </c>
      <c r="J181" s="14">
        <f t="shared" si="47"/>
        <v>797.91377815739054</v>
      </c>
      <c r="K181">
        <v>357.33862283383041</v>
      </c>
      <c r="L181" s="8">
        <f t="shared" si="48"/>
        <v>11455.329071447986</v>
      </c>
      <c r="M181" s="6">
        <f>L181*'[1]BE Projection'!$C$7</f>
        <v>44.843119007280634</v>
      </c>
      <c r="N181" s="7">
        <f t="shared" si="49"/>
        <v>321.98045847534388</v>
      </c>
      <c r="O181" s="16"/>
    </row>
    <row r="182" spans="1:15" x14ac:dyDescent="0.25">
      <c r="A182">
        <v>178</v>
      </c>
      <c r="B182" s="1">
        <f t="shared" si="42"/>
        <v>7.5316993305142924E-2</v>
      </c>
      <c r="C182" s="1">
        <f>'[1]BE Projection'!$J194</f>
        <v>2.7997881522380696E-2</v>
      </c>
      <c r="D182" s="1">
        <f t="shared" si="43"/>
        <v>2.169456439541583E-3</v>
      </c>
      <c r="E182" s="19">
        <v>5.4063599999999998E-3</v>
      </c>
      <c r="F182" s="8">
        <f t="shared" si="44"/>
        <v>147587.98492098021</v>
      </c>
      <c r="G182" s="6">
        <f>F182*'[1]BE Projection'!$C$7</f>
        <v>577.74905727956377</v>
      </c>
      <c r="H182" s="6">
        <f t="shared" si="45"/>
        <v>148165.73397825976</v>
      </c>
      <c r="I182" s="7">
        <f t="shared" si="46"/>
        <v>321.43910569854074</v>
      </c>
      <c r="J182" s="14">
        <f t="shared" si="47"/>
        <v>801.03729755070435</v>
      </c>
      <c r="K182">
        <v>358.73746333345889</v>
      </c>
      <c r="L182" s="8">
        <f t="shared" si="48"/>
        <v>11178.191731979923</v>
      </c>
      <c r="M182" s="6">
        <f>L182*'[1]BE Projection'!$C$7</f>
        <v>43.758235053479332</v>
      </c>
      <c r="N182" s="7">
        <f t="shared" si="49"/>
        <v>314.19082562708519</v>
      </c>
      <c r="O182" s="16"/>
    </row>
    <row r="183" spans="1:15" x14ac:dyDescent="0.25">
      <c r="A183">
        <v>179</v>
      </c>
      <c r="B183" s="1">
        <f t="shared" si="42"/>
        <v>7.3208277049963591E-2</v>
      </c>
      <c r="C183" s="1">
        <f>'[1]BE Projection'!$J195</f>
        <v>2.7997881522380696E-2</v>
      </c>
      <c r="D183" s="1">
        <f t="shared" si="43"/>
        <v>2.1087162551793317E-3</v>
      </c>
      <c r="E183" s="19">
        <v>5.4063599999999998E-3</v>
      </c>
      <c r="F183" s="8">
        <f t="shared" si="44"/>
        <v>148165.73397825976</v>
      </c>
      <c r="G183" s="6">
        <f>F183*'[1]BE Projection'!$C$7</f>
        <v>580.01071816859974</v>
      </c>
      <c r="H183" s="6">
        <f t="shared" si="45"/>
        <v>148745.74469642836</v>
      </c>
      <c r="I183" s="7">
        <f t="shared" si="46"/>
        <v>313.66256973011338</v>
      </c>
      <c r="J183" s="14">
        <f t="shared" si="47"/>
        <v>804.17304429698243</v>
      </c>
      <c r="K183">
        <v>360.1417797447811</v>
      </c>
      <c r="L183" s="8">
        <f t="shared" si="48"/>
        <v>10907.759141406317</v>
      </c>
      <c r="M183" s="6">
        <f>L183*'[1]BE Projection'!$C$7</f>
        <v>42.699597561103346</v>
      </c>
      <c r="N183" s="7">
        <f t="shared" si="49"/>
        <v>306.58964638932815</v>
      </c>
      <c r="O183" s="16"/>
    </row>
    <row r="184" spans="1:15" x14ac:dyDescent="0.25">
      <c r="A184">
        <v>180</v>
      </c>
      <c r="B184" s="1">
        <f t="shared" si="42"/>
        <v>7.1158600382661086E-2</v>
      </c>
      <c r="C184" s="1">
        <f>'[1]BE Projection'!$J196</f>
        <v>3.0972923031780231E-2</v>
      </c>
      <c r="D184" s="1">
        <f t="shared" si="43"/>
        <v>2.2674743303577652E-3</v>
      </c>
      <c r="E184" s="19">
        <v>5.4063599999999998E-3</v>
      </c>
      <c r="F184" s="8">
        <f t="shared" si="44"/>
        <v>148745.74469642836</v>
      </c>
      <c r="G184" s="6">
        <f>F184*'[1]BE Projection'!$C$7</f>
        <v>582.28123257269147</v>
      </c>
      <c r="H184" s="6">
        <f t="shared" si="45"/>
        <v>149328.02592900104</v>
      </c>
      <c r="I184" s="7">
        <f t="shared" si="46"/>
        <v>338.59746559700864</v>
      </c>
      <c r="J184" s="14">
        <f t="shared" si="47"/>
        <v>807.32106626151403</v>
      </c>
      <c r="K184">
        <v>280.0177080286706</v>
      </c>
      <c r="L184" s="8">
        <f t="shared" si="48"/>
        <v>10643.869092578092</v>
      </c>
      <c r="M184" s="6">
        <f>L184*'[1]BE Projection'!$C$7</f>
        <v>41.666571552803319</v>
      </c>
      <c r="N184" s="7">
        <f t="shared" si="49"/>
        <v>330.96227367846888</v>
      </c>
      <c r="O184" s="16"/>
    </row>
    <row r="185" spans="1:15" x14ac:dyDescent="0.25">
      <c r="A185">
        <v>181</v>
      </c>
      <c r="B185" s="1">
        <f t="shared" si="42"/>
        <v>6.8954610529959715E-2</v>
      </c>
      <c r="C185" s="1">
        <f>'[1]BE Projection'!$J197</f>
        <v>3.0972923031780231E-2</v>
      </c>
      <c r="D185" s="1">
        <f t="shared" si="43"/>
        <v>2.2039898527013691E-3</v>
      </c>
      <c r="E185" s="19">
        <v>5.4063599999999998E-3</v>
      </c>
      <c r="F185" s="8">
        <f t="shared" si="44"/>
        <v>149328.02592900104</v>
      </c>
      <c r="G185" s="6">
        <f>F185*'[1]BE Projection'!$C$7</f>
        <v>584.5606351498767</v>
      </c>
      <c r="H185" s="6">
        <f t="shared" si="45"/>
        <v>149912.58656415093</v>
      </c>
      <c r="I185" s="7">
        <f t="shared" si="46"/>
        <v>330.40581957960427</v>
      </c>
      <c r="J185" s="14">
        <f t="shared" si="47"/>
        <v>810.48141149696301</v>
      </c>
      <c r="K185">
        <v>281.11386748520317</v>
      </c>
      <c r="L185" s="8">
        <f t="shared" si="48"/>
        <v>10354.573390452426</v>
      </c>
      <c r="M185" s="6">
        <f>L185*'[1]BE Projection'!$C$7</f>
        <v>40.534092379328449</v>
      </c>
      <c r="N185" s="7">
        <f t="shared" si="49"/>
        <v>321.96686397283065</v>
      </c>
      <c r="O185" s="16"/>
    </row>
    <row r="186" spans="1:15" x14ac:dyDescent="0.25">
      <c r="A186">
        <v>182</v>
      </c>
      <c r="B186" s="1">
        <f t="shared" si="42"/>
        <v>6.6818884685328886E-2</v>
      </c>
      <c r="C186" s="1">
        <f>'[1]BE Projection'!$J198</f>
        <v>3.0972923031780231E-2</v>
      </c>
      <c r="D186" s="1">
        <f t="shared" si="43"/>
        <v>2.1357258446308247E-3</v>
      </c>
      <c r="E186" s="19">
        <v>5.4063599999999998E-3</v>
      </c>
      <c r="F186" s="8">
        <f t="shared" si="44"/>
        <v>149912.58656415093</v>
      </c>
      <c r="G186" s="6">
        <f>F186*'[1]BE Projection'!$C$7</f>
        <v>586.84896069386593</v>
      </c>
      <c r="H186" s="6">
        <f t="shared" si="45"/>
        <v>150499.4355248448</v>
      </c>
      <c r="I186" s="7">
        <f t="shared" si="46"/>
        <v>321.42553405276152</v>
      </c>
      <c r="J186" s="14">
        <f t="shared" si="47"/>
        <v>813.65412824409987</v>
      </c>
      <c r="K186">
        <v>282.21431797590873</v>
      </c>
      <c r="L186" s="8">
        <f t="shared" si="48"/>
        <v>10073.140618858924</v>
      </c>
      <c r="M186" s="6">
        <f>L186*'[1]BE Projection'!$C$7</f>
        <v>39.43239349399726</v>
      </c>
      <c r="N186" s="7">
        <f t="shared" si="49"/>
        <v>313.21594556486497</v>
      </c>
      <c r="O186" s="16"/>
    </row>
    <row r="187" spans="1:15" x14ac:dyDescent="0.25">
      <c r="A187">
        <v>183</v>
      </c>
      <c r="B187" s="1">
        <f t="shared" si="42"/>
        <v>6.4749308512900797E-2</v>
      </c>
      <c r="C187" s="1">
        <f>'[1]BE Projection'!$J199</f>
        <v>3.0972923031780231E-2</v>
      </c>
      <c r="D187" s="1">
        <f t="shared" si="43"/>
        <v>2.0695761724280905E-3</v>
      </c>
      <c r="E187" s="19">
        <v>5.4063599999999998E-3</v>
      </c>
      <c r="F187" s="8">
        <f t="shared" si="44"/>
        <v>150499.4355248448</v>
      </c>
      <c r="G187" s="6">
        <f>F187*'[1]BE Projection'!$C$7</f>
        <v>589.14624413457364</v>
      </c>
      <c r="H187" s="6">
        <f t="shared" si="45"/>
        <v>151088.58176897938</v>
      </c>
      <c r="I187" s="7">
        <f t="shared" si="46"/>
        <v>312.68932875503293</v>
      </c>
      <c r="J187" s="14">
        <f t="shared" si="47"/>
        <v>816.83926493253932</v>
      </c>
      <c r="K187">
        <v>283.31907629850213</v>
      </c>
      <c r="L187" s="8">
        <f t="shared" si="48"/>
        <v>9799.3570667880558</v>
      </c>
      <c r="M187" s="6">
        <f>L187*'[1]BE Projection'!$C$7</f>
        <v>38.360638302053381</v>
      </c>
      <c r="N187" s="7">
        <f t="shared" si="49"/>
        <v>304.7028732881376</v>
      </c>
      <c r="O187" s="16"/>
    </row>
    <row r="188" spans="1:15" x14ac:dyDescent="0.25">
      <c r="A188">
        <v>184</v>
      </c>
      <c r="B188" s="1">
        <f t="shared" si="42"/>
        <v>6.2743833163969726E-2</v>
      </c>
      <c r="C188" s="1">
        <f>'[1]BE Projection'!$J200</f>
        <v>3.0972923031780231E-2</v>
      </c>
      <c r="D188" s="1">
        <f t="shared" si="43"/>
        <v>2.005475348931069E-3</v>
      </c>
      <c r="E188" s="19">
        <v>5.4063599999999998E-3</v>
      </c>
      <c r="F188" s="8">
        <f t="shared" si="44"/>
        <v>151088.58176897938</v>
      </c>
      <c r="G188" s="6">
        <f>F188*'[1]BE Projection'!$C$7</f>
        <v>591.45252053865079</v>
      </c>
      <c r="H188" s="6">
        <f t="shared" si="45"/>
        <v>151680.03428951802</v>
      </c>
      <c r="I188" s="7">
        <f t="shared" si="46"/>
        <v>304.19056969264767</v>
      </c>
      <c r="J188" s="14">
        <f t="shared" si="47"/>
        <v>820.03687018147866</v>
      </c>
      <c r="K188">
        <v>284.42815931645498</v>
      </c>
      <c r="L188" s="8">
        <f t="shared" si="48"/>
        <v>9533.0148318019728</v>
      </c>
      <c r="M188" s="6">
        <f>L188*'[1]BE Projection'!$C$7</f>
        <v>37.31801294701971</v>
      </c>
      <c r="N188" s="7">
        <f t="shared" si="49"/>
        <v>296.4211825889289</v>
      </c>
      <c r="O188" s="16"/>
    </row>
    <row r="189" spans="1:15" x14ac:dyDescent="0.25">
      <c r="A189">
        <v>185</v>
      </c>
      <c r="B189" s="1">
        <f t="shared" si="42"/>
        <v>6.080047324866323E-2</v>
      </c>
      <c r="C189" s="1">
        <f>'[1]BE Projection'!$J201</f>
        <v>3.0972923031780231E-2</v>
      </c>
      <c r="D189" s="1">
        <f t="shared" si="43"/>
        <v>1.9433599153064942E-3</v>
      </c>
      <c r="E189" s="19">
        <v>5.4063599999999998E-3</v>
      </c>
      <c r="F189" s="8">
        <f t="shared" si="44"/>
        <v>151680.03428951802</v>
      </c>
      <c r="G189" s="6">
        <f>F189*'[1]BE Projection'!$C$7</f>
        <v>593.76782511002068</v>
      </c>
      <c r="H189" s="6">
        <f t="shared" si="45"/>
        <v>152273.80211462805</v>
      </c>
      <c r="I189" s="7">
        <f t="shared" si="46"/>
        <v>295.92280318088143</v>
      </c>
      <c r="J189" s="14">
        <f t="shared" si="47"/>
        <v>823.24699280044047</v>
      </c>
      <c r="K189">
        <v>285.54158395925288</v>
      </c>
      <c r="L189" s="8">
        <f t="shared" si="48"/>
        <v>9273.9116621600642</v>
      </c>
      <c r="M189" s="6">
        <f>L189*'[1]BE Projection'!$C$7</f>
        <v>36.303725692681844</v>
      </c>
      <c r="N189" s="7">
        <f t="shared" si="49"/>
        <v>288.36458461725903</v>
      </c>
      <c r="O189" s="16"/>
    </row>
    <row r="190" spans="1:15" x14ac:dyDescent="0.25">
      <c r="A190">
        <v>186</v>
      </c>
      <c r="B190" s="1">
        <f t="shared" si="42"/>
        <v>5.8917304870436574E-2</v>
      </c>
      <c r="C190" s="1">
        <f>'[1]BE Projection'!$J202</f>
        <v>3.0972923031780231E-2</v>
      </c>
      <c r="D190" s="1">
        <f t="shared" si="43"/>
        <v>1.8831683782266591E-3</v>
      </c>
      <c r="E190" s="19">
        <v>5.4063599999999998E-3</v>
      </c>
      <c r="F190" s="8">
        <f t="shared" si="44"/>
        <v>152273.80211462805</v>
      </c>
      <c r="G190" s="6">
        <f>F190*'[1]BE Projection'!$C$7</f>
        <v>596.09219319041642</v>
      </c>
      <c r="H190" s="6">
        <f t="shared" si="45"/>
        <v>152869.89430781847</v>
      </c>
      <c r="I190" s="7">
        <f t="shared" si="46"/>
        <v>287.8797509433353</v>
      </c>
      <c r="J190" s="14">
        <f t="shared" si="47"/>
        <v>826.46968179001738</v>
      </c>
      <c r="K190">
        <v>286.65936722265349</v>
      </c>
      <c r="L190" s="8">
        <f t="shared" si="48"/>
        <v>9021.8508032354875</v>
      </c>
      <c r="M190" s="6">
        <f>L190*'[1]BE Projection'!$C$7</f>
        <v>35.317006321869094</v>
      </c>
      <c r="N190" s="7">
        <f t="shared" si="49"/>
        <v>280.52696145133757</v>
      </c>
      <c r="O190" s="16"/>
    </row>
    <row r="191" spans="1:15" x14ac:dyDescent="0.25">
      <c r="A191">
        <v>187</v>
      </c>
      <c r="B191" s="1">
        <f t="shared" si="42"/>
        <v>5.7092463721444608E-2</v>
      </c>
      <c r="C191" s="1">
        <f>'[1]BE Projection'!$J203</f>
        <v>3.0972923031780231E-2</v>
      </c>
      <c r="D191" s="1">
        <f t="shared" si="43"/>
        <v>1.8248411489919624E-3</v>
      </c>
      <c r="E191" s="19">
        <v>5.4063599999999998E-3</v>
      </c>
      <c r="F191" s="8">
        <f t="shared" si="44"/>
        <v>152869.89430781847</v>
      </c>
      <c r="G191" s="6">
        <f>F191*'[1]BE Projection'!$C$7</f>
        <v>598.42566025991982</v>
      </c>
      <c r="H191" s="6">
        <f t="shared" si="45"/>
        <v>153468.3199680784</v>
      </c>
      <c r="I191" s="7">
        <f t="shared" si="46"/>
        <v>280.05530534441431</v>
      </c>
      <c r="J191" s="14">
        <f t="shared" si="47"/>
        <v>829.70498634262037</v>
      </c>
      <c r="K191">
        <v>287.7815261689463</v>
      </c>
      <c r="L191" s="8">
        <f t="shared" si="48"/>
        <v>8776.6408481060189</v>
      </c>
      <c r="M191" s="6">
        <f>L191*'[1]BE Projection'!$C$7</f>
        <v>34.357105551576268</v>
      </c>
      <c r="N191" s="7">
        <f t="shared" si="49"/>
        <v>272.90236145180984</v>
      </c>
      <c r="O191" s="16"/>
    </row>
    <row r="192" spans="1:15" x14ac:dyDescent="0.25">
      <c r="A192">
        <v>188</v>
      </c>
      <c r="B192" s="1">
        <f t="shared" si="42"/>
        <v>5.5324143236905599E-2</v>
      </c>
      <c r="C192" s="1">
        <f>'[1]BE Projection'!$J204</f>
        <v>3.0972923031780231E-2</v>
      </c>
      <c r="D192" s="1">
        <f t="shared" si="43"/>
        <v>1.7683204845390091E-3</v>
      </c>
      <c r="E192" s="19">
        <v>5.4063599999999998E-3</v>
      </c>
      <c r="F192" s="8">
        <f t="shared" si="44"/>
        <v>153468.3199680784</v>
      </c>
      <c r="G192" s="6">
        <f>F192*'[1]BE Projection'!$C$7</f>
        <v>600.76826193750344</v>
      </c>
      <c r="H192" s="6">
        <f t="shared" si="45"/>
        <v>154069.08823001591</v>
      </c>
      <c r="I192" s="7">
        <f t="shared" si="46"/>
        <v>272.4435247513851</v>
      </c>
      <c r="J192" s="14">
        <f t="shared" si="47"/>
        <v>832.95295584322878</v>
      </c>
      <c r="K192">
        <v>288.9080779272129</v>
      </c>
      <c r="L192" s="8">
        <f t="shared" si="48"/>
        <v>8538.0955922057856</v>
      </c>
      <c r="M192" s="6">
        <f>L192*'[1]BE Projection'!$C$7</f>
        <v>33.423294463982238</v>
      </c>
      <c r="N192" s="7">
        <f t="shared" si="49"/>
        <v>265.48499474227333</v>
      </c>
      <c r="O192" s="16"/>
    </row>
    <row r="193" spans="1:15" x14ac:dyDescent="0.25">
      <c r="A193">
        <v>189</v>
      </c>
      <c r="B193" s="1">
        <f t="shared" si="42"/>
        <v>5.3610592806629734E-2</v>
      </c>
      <c r="C193" s="1">
        <f>'[1]BE Projection'!$J205</f>
        <v>3.0972923031780231E-2</v>
      </c>
      <c r="D193" s="1">
        <f t="shared" si="43"/>
        <v>1.7135504302758619E-3</v>
      </c>
      <c r="E193" s="19">
        <v>5.4063599999999998E-3</v>
      </c>
      <c r="F193" s="8">
        <f t="shared" si="44"/>
        <v>154069.08823001591</v>
      </c>
      <c r="G193" s="6">
        <f>F193*'[1]BE Projection'!$C$7</f>
        <v>603.12003398157412</v>
      </c>
      <c r="H193" s="6">
        <f t="shared" si="45"/>
        <v>154672.20826399748</v>
      </c>
      <c r="I193" s="7">
        <f t="shared" si="46"/>
        <v>265.03862902249062</v>
      </c>
      <c r="J193" s="14">
        <f t="shared" si="47"/>
        <v>836.21363987014536</v>
      </c>
      <c r="K193">
        <v>290.03903969358868</v>
      </c>
      <c r="L193" s="8">
        <f t="shared" si="48"/>
        <v>8306.0338919274946</v>
      </c>
      <c r="M193" s="6">
        <f>L193*'[1]BE Projection'!$C$7</f>
        <v>32.514863952933119</v>
      </c>
      <c r="N193" s="7">
        <f t="shared" si="49"/>
        <v>258.26922881263124</v>
      </c>
      <c r="O193" s="16"/>
    </row>
    <row r="194" spans="1:15" x14ac:dyDescent="0.25">
      <c r="A194">
        <v>190</v>
      </c>
      <c r="B194" s="1">
        <f t="shared" si="42"/>
        <v>5.1950116041941878E-2</v>
      </c>
      <c r="C194" s="1">
        <f>'[1]BE Projection'!$J206</f>
        <v>3.0972923031780231E-2</v>
      </c>
      <c r="D194" s="1">
        <f t="shared" si="43"/>
        <v>1.6604767646878535E-3</v>
      </c>
      <c r="E194" s="19">
        <v>5.4063599999999998E-3</v>
      </c>
      <c r="F194" s="8">
        <f t="shared" si="44"/>
        <v>154672.20826399748</v>
      </c>
      <c r="G194" s="6">
        <f>F194*'[1]BE Projection'!$C$7</f>
        <v>605.48101229051861</v>
      </c>
      <c r="H194" s="6">
        <f t="shared" si="45"/>
        <v>155277.689276288</v>
      </c>
      <c r="I194" s="7">
        <f t="shared" si="46"/>
        <v>257.83499511769651</v>
      </c>
      <c r="J194" s="14">
        <f t="shared" si="47"/>
        <v>839.48708819575234</v>
      </c>
      <c r="K194">
        <v>291.17442873152481</v>
      </c>
      <c r="L194" s="8">
        <f t="shared" si="48"/>
        <v>8080.2795270677962</v>
      </c>
      <c r="M194" s="6">
        <f>L194*'[1]BE Projection'!$C$7</f>
        <v>31.631124185469865</v>
      </c>
      <c r="N194" s="7">
        <f t="shared" si="49"/>
        <v>251.24958424194566</v>
      </c>
      <c r="O194" s="16"/>
    </row>
    <row r="195" spans="1:15" x14ac:dyDescent="0.25">
      <c r="A195">
        <v>191</v>
      </c>
      <c r="B195" s="1">
        <f t="shared" si="42"/>
        <v>5.0341069096282762E-2</v>
      </c>
      <c r="C195" s="1">
        <f>'[1]BE Projection'!$J207</f>
        <v>3.0972923031780231E-2</v>
      </c>
      <c r="D195" s="1">
        <f t="shared" si="43"/>
        <v>1.6090469456591172E-3</v>
      </c>
      <c r="E195" s="19">
        <v>5.4063599999999998E-3</v>
      </c>
      <c r="F195" s="8">
        <f t="shared" si="44"/>
        <v>155277.689276288</v>
      </c>
      <c r="G195" s="6">
        <f>F195*'[1]BE Projection'!$C$7</f>
        <v>607.85123290325225</v>
      </c>
      <c r="H195" s="6">
        <f t="shared" si="45"/>
        <v>155885.54050919125</v>
      </c>
      <c r="I195" s="7">
        <f t="shared" si="46"/>
        <v>250.82715282873477</v>
      </c>
      <c r="J195" s="14">
        <f t="shared" si="47"/>
        <v>842.77335078727117</v>
      </c>
      <c r="K195">
        <v>292.31426237205261</v>
      </c>
      <c r="L195" s="8">
        <f t="shared" si="48"/>
        <v>7860.6610670113205</v>
      </c>
      <c r="M195" s="6">
        <f>L195*'[1]BE Projection'!$C$7</f>
        <v>30.771404077991242</v>
      </c>
      <c r="N195" s="7">
        <f t="shared" si="49"/>
        <v>244.42073053754052</v>
      </c>
      <c r="O195" s="16"/>
    </row>
    <row r="196" spans="1:15" x14ac:dyDescent="0.25">
      <c r="A196">
        <v>192</v>
      </c>
      <c r="B196" s="1">
        <f t="shared" si="42"/>
        <v>4.8781859037826066E-2</v>
      </c>
      <c r="C196" s="1">
        <f>'[1]BE Projection'!$J208</f>
        <v>3.4200726090114597E-2</v>
      </c>
      <c r="D196" s="1">
        <f t="shared" si="43"/>
        <v>1.7217011152454995E-3</v>
      </c>
      <c r="E196" s="19">
        <v>5.4063599999999998E-3</v>
      </c>
      <c r="F196" s="8">
        <f t="shared" si="44"/>
        <v>155885.54050919125</v>
      </c>
      <c r="G196" s="6">
        <f>F196*'[1]BE Projection'!$C$7</f>
        <v>610.23073199976818</v>
      </c>
      <c r="H196" s="6">
        <f t="shared" si="45"/>
        <v>156495.77124119102</v>
      </c>
      <c r="I196" s="7">
        <f t="shared" si="46"/>
        <v>269.43894387716313</v>
      </c>
      <c r="J196" s="14">
        <f t="shared" si="47"/>
        <v>846.07247780752539</v>
      </c>
      <c r="K196">
        <v>218.3894897857501</v>
      </c>
      <c r="L196" s="8">
        <f t="shared" si="48"/>
        <v>7647.0117405517713</v>
      </c>
      <c r="M196" s="6">
        <f>L196*'[1]BE Projection'!$C$7</f>
        <v>29.935050786654507</v>
      </c>
      <c r="N196" s="7">
        <f t="shared" si="49"/>
        <v>262.55715441894966</v>
      </c>
      <c r="O196" s="16"/>
    </row>
    <row r="197" spans="1:15" x14ac:dyDescent="0.25">
      <c r="A197">
        <v>193</v>
      </c>
      <c r="B197" s="1">
        <f t="shared" si="42"/>
        <v>4.7113484038706792E-2</v>
      </c>
      <c r="C197" s="1">
        <f>'[1]BE Projection'!$J209</f>
        <v>3.4200726090114597E-2</v>
      </c>
      <c r="D197" s="1">
        <f t="shared" si="43"/>
        <v>1.6683749991192704E-3</v>
      </c>
      <c r="E197" s="19">
        <v>5.4063599999999998E-3</v>
      </c>
      <c r="F197" s="8">
        <f t="shared" si="44"/>
        <v>156495.77124119102</v>
      </c>
      <c r="G197" s="6">
        <f>F197*'[1]BE Projection'!$C$7</f>
        <v>612.61954590169012</v>
      </c>
      <c r="H197" s="6">
        <f t="shared" si="45"/>
        <v>157108.39078709271</v>
      </c>
      <c r="I197" s="7">
        <f t="shared" si="46"/>
        <v>262.11571134104577</v>
      </c>
      <c r="J197" s="14">
        <f t="shared" si="47"/>
        <v>849.38451961570649</v>
      </c>
      <c r="K197">
        <v>219.24439894889301</v>
      </c>
      <c r="L197" s="8">
        <f t="shared" si="48"/>
        <v>7414.3896369194763</v>
      </c>
      <c r="M197" s="6">
        <f>L197*'[1]BE Projection'!$C$7</f>
        <v>29.024426516339382</v>
      </c>
      <c r="N197" s="7">
        <f t="shared" si="49"/>
        <v>254.5701655588752</v>
      </c>
      <c r="O197" s="16"/>
    </row>
    <row r="198" spans="1:15" x14ac:dyDescent="0.25">
      <c r="A198">
        <v>194</v>
      </c>
      <c r="B198" s="1">
        <f t="shared" si="42"/>
        <v>4.5502168675947995E-2</v>
      </c>
      <c r="C198" s="1">
        <f>'[1]BE Projection'!$J210</f>
        <v>3.4200726090114597E-2</v>
      </c>
      <c r="D198" s="1">
        <f t="shared" si="43"/>
        <v>1.6113153627587971E-3</v>
      </c>
      <c r="E198" s="19">
        <v>5.4063599999999998E-3</v>
      </c>
      <c r="F198" s="8">
        <f t="shared" si="44"/>
        <v>157108.39078709271</v>
      </c>
      <c r="G198" s="6">
        <f>F198*'[1]BE Projection'!$C$7</f>
        <v>615.01771107282673</v>
      </c>
      <c r="H198" s="6">
        <f t="shared" si="45"/>
        <v>157723.40849816555</v>
      </c>
      <c r="I198" s="7">
        <f t="shared" si="46"/>
        <v>254.14215117977557</v>
      </c>
      <c r="J198" s="14">
        <f t="shared" si="47"/>
        <v>852.70952676814227</v>
      </c>
      <c r="K198">
        <v>220.1026547459694</v>
      </c>
      <c r="L198" s="8">
        <f t="shared" si="48"/>
        <v>7188.84389787694</v>
      </c>
      <c r="M198" s="6">
        <f>L198*'[1]BE Projection'!$C$7</f>
        <v>28.141503437099452</v>
      </c>
      <c r="N198" s="7">
        <f t="shared" si="49"/>
        <v>246.82614090669722</v>
      </c>
      <c r="O198" s="16"/>
    </row>
    <row r="199" spans="1:15" x14ac:dyDescent="0.25">
      <c r="A199">
        <v>195</v>
      </c>
      <c r="B199" s="1">
        <f t="shared" si="42"/>
        <v>4.3945961468555707E-2</v>
      </c>
      <c r="C199" s="1">
        <f>'[1]BE Projection'!$J211</f>
        <v>3.4200726090114597E-2</v>
      </c>
      <c r="D199" s="1">
        <f t="shared" si="43"/>
        <v>1.5562072073922897E-3</v>
      </c>
      <c r="E199" s="19">
        <v>5.4063599999999998E-3</v>
      </c>
      <c r="F199" s="8">
        <f t="shared" si="44"/>
        <v>157723.40849816555</v>
      </c>
      <c r="G199" s="6">
        <f>F199*'[1]BE Projection'!$C$7</f>
        <v>617.42526411972835</v>
      </c>
      <c r="H199" s="6">
        <f t="shared" si="45"/>
        <v>158340.83376228527</v>
      </c>
      <c r="I199" s="7">
        <f t="shared" si="46"/>
        <v>246.41114672537276</v>
      </c>
      <c r="J199" s="14">
        <f t="shared" si="47"/>
        <v>856.04755001906858</v>
      </c>
      <c r="K199">
        <v>220.96427027773791</v>
      </c>
      <c r="L199" s="8">
        <f t="shared" si="48"/>
        <v>6970.1592604073421</v>
      </c>
      <c r="M199" s="6">
        <f>L199*'[1]BE Projection'!$C$7</f>
        <v>27.285438878678729</v>
      </c>
      <c r="N199" s="7">
        <f t="shared" si="49"/>
        <v>239.31768949100552</v>
      </c>
      <c r="O199" s="16"/>
    </row>
    <row r="200" spans="1:15" x14ac:dyDescent="0.25">
      <c r="A200">
        <v>196</v>
      </c>
      <c r="B200" s="1">
        <f t="shared" si="42"/>
        <v>4.2442977677602904E-2</v>
      </c>
      <c r="C200" s="1">
        <f>'[1]BE Projection'!$J212</f>
        <v>3.4200726090114597E-2</v>
      </c>
      <c r="D200" s="1">
        <f t="shared" si="43"/>
        <v>1.502983790952804E-3</v>
      </c>
      <c r="E200" s="19">
        <v>5.4063599999999998E-3</v>
      </c>
      <c r="F200" s="8">
        <f t="shared" si="44"/>
        <v>158340.83376228527</v>
      </c>
      <c r="G200" s="6">
        <f>F200*'[1]BE Projection'!$C$7</f>
        <v>619.84224179224509</v>
      </c>
      <c r="H200" s="6">
        <f t="shared" si="45"/>
        <v>158960.67600407751</v>
      </c>
      <c r="I200" s="7">
        <f t="shared" si="46"/>
        <v>238.91531943302883</v>
      </c>
      <c r="J200" s="14">
        <f t="shared" si="47"/>
        <v>859.39864032140451</v>
      </c>
      <c r="K200">
        <v>221.82925869624171</v>
      </c>
      <c r="L200" s="8">
        <f t="shared" si="48"/>
        <v>6758.1270097950155</v>
      </c>
      <c r="M200" s="6">
        <f>L200*'[1]BE Projection'!$C$7</f>
        <v>26.455415804851114</v>
      </c>
      <c r="N200" s="7">
        <f t="shared" si="49"/>
        <v>232.03764517374634</v>
      </c>
      <c r="O200" s="16"/>
    </row>
    <row r="201" spans="1:15" x14ac:dyDescent="0.25">
      <c r="A201">
        <v>197</v>
      </c>
      <c r="B201" s="1">
        <f t="shared" si="42"/>
        <v>4.0991397023602362E-2</v>
      </c>
      <c r="C201" s="1">
        <f>'[1]BE Projection'!$J213</f>
        <v>3.4200726090114597E-2</v>
      </c>
      <c r="D201" s="1">
        <f t="shared" si="43"/>
        <v>1.4515806540005452E-3</v>
      </c>
      <c r="E201" s="19">
        <v>5.4063599999999998E-3</v>
      </c>
      <c r="F201" s="8">
        <f t="shared" si="44"/>
        <v>158960.67600407751</v>
      </c>
      <c r="G201" s="6">
        <f>F201*'[1]BE Projection'!$C$7</f>
        <v>622.26868098408886</v>
      </c>
      <c r="H201" s="6">
        <f t="shared" si="45"/>
        <v>159582.94468506161</v>
      </c>
      <c r="I201" s="7">
        <f t="shared" si="46"/>
        <v>231.64751521327454</v>
      </c>
      <c r="J201" s="14">
        <f t="shared" si="47"/>
        <v>862.76284882752964</v>
      </c>
      <c r="K201">
        <v>222.697633205009</v>
      </c>
      <c r="L201" s="8">
        <f t="shared" si="48"/>
        <v>6552.5447804261203</v>
      </c>
      <c r="M201" s="6">
        <f>L201*'[1]BE Projection'!$C$7</f>
        <v>25.650642033633197</v>
      </c>
      <c r="N201" s="7">
        <f t="shared" si="49"/>
        <v>224.97905981079171</v>
      </c>
      <c r="O201" s="16"/>
    </row>
    <row r="202" spans="1:15" x14ac:dyDescent="0.25">
      <c r="A202">
        <v>198</v>
      </c>
      <c r="B202" s="1">
        <f t="shared" si="42"/>
        <v>3.9589461481946996E-2</v>
      </c>
      <c r="C202" s="1">
        <f>'[1]BE Projection'!$J214</f>
        <v>3.4200726090114597E-2</v>
      </c>
      <c r="D202" s="1">
        <f t="shared" si="43"/>
        <v>1.4019355416553631E-3</v>
      </c>
      <c r="E202" s="19">
        <v>5.4063599999999998E-3</v>
      </c>
      <c r="F202" s="8">
        <f t="shared" si="44"/>
        <v>159582.94468506161</v>
      </c>
      <c r="G202" s="6">
        <f>F202*'[1]BE Projection'!$C$7</f>
        <v>624.70461873339582</v>
      </c>
      <c r="H202" s="6">
        <f t="shared" si="45"/>
        <v>160207.64930379501</v>
      </c>
      <c r="I202" s="7">
        <f t="shared" si="46"/>
        <v>224.60079760404832</v>
      </c>
      <c r="J202" s="14">
        <f t="shared" si="47"/>
        <v>866.14022689006515</v>
      </c>
      <c r="K202">
        <v>223.5694070592543</v>
      </c>
      <c r="L202" s="8">
        <f t="shared" si="48"/>
        <v>6353.2163626489619</v>
      </c>
      <c r="M202" s="6">
        <f>L202*'[1]BE Projection'!$C$7</f>
        <v>24.870349481218181</v>
      </c>
      <c r="N202" s="7">
        <f t="shared" si="49"/>
        <v>218.13519662056387</v>
      </c>
      <c r="O202" s="16"/>
    </row>
    <row r="203" spans="1:15" x14ac:dyDescent="0.25">
      <c r="A203">
        <v>199</v>
      </c>
      <c r="B203" s="1">
        <f t="shared" si="42"/>
        <v>3.8235473153747784E-2</v>
      </c>
      <c r="C203" s="1">
        <f>'[1]BE Projection'!$J215</f>
        <v>3.4200726090114597E-2</v>
      </c>
      <c r="D203" s="1">
        <f t="shared" si="43"/>
        <v>1.3539883281992115E-3</v>
      </c>
      <c r="E203" s="19">
        <v>5.4063599999999998E-3</v>
      </c>
      <c r="F203" s="8">
        <f t="shared" si="44"/>
        <v>160207.64930379501</v>
      </c>
      <c r="G203" s="6">
        <f>F203*'[1]BE Projection'!$C$7</f>
        <v>627.15009222329172</v>
      </c>
      <c r="H203" s="6">
        <f t="shared" si="45"/>
        <v>160834.79939601829</v>
      </c>
      <c r="I203" s="7">
        <f t="shared" si="46"/>
        <v>217.76844115047035</v>
      </c>
      <c r="J203" s="14">
        <f t="shared" si="47"/>
        <v>869.53082606265741</v>
      </c>
      <c r="K203">
        <v>224.44459356608161</v>
      </c>
      <c r="L203" s="8">
        <f t="shared" si="48"/>
        <v>6159.951515509616</v>
      </c>
      <c r="M203" s="6">
        <f>L203*'[1]BE Projection'!$C$7</f>
        <v>24.113793428909322</v>
      </c>
      <c r="N203" s="7">
        <f t="shared" si="49"/>
        <v>211.49952375438639</v>
      </c>
      <c r="O203" s="16"/>
    </row>
    <row r="204" spans="1:15" x14ac:dyDescent="0.25">
      <c r="A204">
        <v>200</v>
      </c>
      <c r="B204" s="1">
        <f t="shared" si="42"/>
        <v>3.6927792209490523E-2</v>
      </c>
      <c r="C204" s="1">
        <f>'[1]BE Projection'!$J216</f>
        <v>3.4200726090114597E-2</v>
      </c>
      <c r="D204" s="1">
        <f t="shared" si="43"/>
        <v>1.3076809442572582E-3</v>
      </c>
      <c r="E204" s="19">
        <v>5.4063599999999998E-3</v>
      </c>
      <c r="F204" s="8">
        <f t="shared" si="44"/>
        <v>160834.79939601829</v>
      </c>
      <c r="G204" s="6">
        <f>F204*'[1]BE Projection'!$C$7</f>
        <v>629.60513878245979</v>
      </c>
      <c r="H204" s="6">
        <f t="shared" si="45"/>
        <v>161464.40453480076</v>
      </c>
      <c r="I204" s="7">
        <f t="shared" si="46"/>
        <v>211.14392498600418</v>
      </c>
      <c r="J204" s="14">
        <f t="shared" si="47"/>
        <v>872.93469810076544</v>
      </c>
      <c r="K204">
        <v>225.3232060846866</v>
      </c>
      <c r="L204" s="8">
        <f t="shared" si="48"/>
        <v>5972.5657851841388</v>
      </c>
      <c r="M204" s="6">
        <f>L204*'[1]BE Projection'!$C$7</f>
        <v>23.380251812353265</v>
      </c>
      <c r="N204" s="7">
        <f t="shared" si="49"/>
        <v>205.06570806242513</v>
      </c>
      <c r="O204" s="16"/>
    </row>
    <row r="205" spans="1:15" x14ac:dyDescent="0.25">
      <c r="A205">
        <v>201</v>
      </c>
      <c r="B205" s="1">
        <f t="shared" si="42"/>
        <v>3.5664834903021067E-2</v>
      </c>
      <c r="C205" s="1">
        <f>'[1]BE Projection'!$J217</f>
        <v>3.4200726090114597E-2</v>
      </c>
      <c r="D205" s="1">
        <f t="shared" si="43"/>
        <v>1.262957306469453E-3</v>
      </c>
      <c r="E205" s="19">
        <v>5.4063599999999998E-3</v>
      </c>
      <c r="F205" s="8">
        <f t="shared" si="44"/>
        <v>161464.40453480076</v>
      </c>
      <c r="G205" s="6">
        <f>F205*'[1]BE Projection'!$C$7</f>
        <v>632.06979588571039</v>
      </c>
      <c r="H205" s="6">
        <f t="shared" si="45"/>
        <v>162096.47433068647</v>
      </c>
      <c r="I205" s="7">
        <f t="shared" si="46"/>
        <v>204.72092660887861</v>
      </c>
      <c r="J205" s="14">
        <f t="shared" si="47"/>
        <v>876.35189496245005</v>
      </c>
      <c r="K205">
        <v>226.2052580265613</v>
      </c>
      <c r="L205" s="8">
        <f t="shared" si="48"/>
        <v>5790.8803289340667</v>
      </c>
      <c r="M205" s="6">
        <f>L205*'[1]BE Projection'!$C$7</f>
        <v>22.669024532394889</v>
      </c>
      <c r="N205" s="7">
        <f t="shared" si="49"/>
        <v>198.82760904926928</v>
      </c>
      <c r="O205" s="16"/>
    </row>
    <row r="206" spans="1:15" x14ac:dyDescent="0.25">
      <c r="A206">
        <v>202</v>
      </c>
      <c r="B206" s="1">
        <f t="shared" si="42"/>
        <v>3.4445071653453688E-2</v>
      </c>
      <c r="C206" s="1">
        <f>'[1]BE Projection'!$J218</f>
        <v>3.4200726090114597E-2</v>
      </c>
      <c r="D206" s="1">
        <f t="shared" si="43"/>
        <v>1.2197632495673824E-3</v>
      </c>
      <c r="E206" s="19">
        <v>5.4063599999999998E-3</v>
      </c>
      <c r="F206" s="8">
        <f t="shared" si="44"/>
        <v>162096.47433068647</v>
      </c>
      <c r="G206" s="6">
        <f>F206*'[1]BE Projection'!$C$7</f>
        <v>634.544101154553</v>
      </c>
      <c r="H206" s="6">
        <f t="shared" si="45"/>
        <v>162731.01843184102</v>
      </c>
      <c r="I206" s="7">
        <f t="shared" si="46"/>
        <v>198.49331584783201</v>
      </c>
      <c r="J206" s="14">
        <f t="shared" si="47"/>
        <v>879.78246880916799</v>
      </c>
      <c r="K206">
        <v>227.09076285569819</v>
      </c>
      <c r="L206" s="8">
        <f t="shared" si="48"/>
        <v>5614.7217444171929</v>
      </c>
      <c r="M206" s="6">
        <f>L206*'[1]BE Projection'!$C$7</f>
        <v>21.979432786895973</v>
      </c>
      <c r="N206" s="7">
        <f t="shared" si="49"/>
        <v>192.77927301338354</v>
      </c>
      <c r="O206" s="16"/>
    </row>
    <row r="207" spans="1:15" x14ac:dyDescent="0.25">
      <c r="A207">
        <v>203</v>
      </c>
      <c r="B207" s="1">
        <f t="shared" si="42"/>
        <v>3.3267025192679545E-2</v>
      </c>
      <c r="C207" s="1">
        <f>'[1]BE Projection'!$J219</f>
        <v>3.4200726090114597E-2</v>
      </c>
      <c r="D207" s="1">
        <f t="shared" si="43"/>
        <v>1.1780464607741403E-3</v>
      </c>
      <c r="E207" s="19">
        <v>5.4063599999999998E-3</v>
      </c>
      <c r="F207" s="8">
        <f t="shared" si="44"/>
        <v>162731.01843184102</v>
      </c>
      <c r="G207" s="6">
        <f>F207*'[1]BE Projection'!$C$7</f>
        <v>637.02809235777079</v>
      </c>
      <c r="H207" s="6">
        <f t="shared" si="45"/>
        <v>163368.04652419878</v>
      </c>
      <c r="I207" s="7">
        <f t="shared" si="46"/>
        <v>192.45514901141746</v>
      </c>
      <c r="J207" s="14">
        <f t="shared" si="47"/>
        <v>883.22647200656729</v>
      </c>
      <c r="K207">
        <v>227.97973408879611</v>
      </c>
      <c r="L207" s="8">
        <f t="shared" si="48"/>
        <v>5443.9219041907054</v>
      </c>
      <c r="M207" s="6">
        <f>L207*'[1]BE Projection'!$C$7</f>
        <v>21.310818422879912</v>
      </c>
      <c r="N207" s="7">
        <f t="shared" si="49"/>
        <v>186.91492736483846</v>
      </c>
      <c r="O207" s="16"/>
    </row>
    <row r="208" spans="1:15" x14ac:dyDescent="0.25">
      <c r="A208">
        <v>204</v>
      </c>
      <c r="B208" s="1">
        <f t="shared" si="42"/>
        <v>3.2129268776231769E-2</v>
      </c>
      <c r="C208" s="1">
        <f>'[1]BE Projection'!$J220</f>
        <v>3.7734901076765803E-2</v>
      </c>
      <c r="D208" s="1">
        <f t="shared" si="43"/>
        <v>1.2553279047640385E-3</v>
      </c>
      <c r="E208" s="19">
        <v>5.4063599999999998E-3</v>
      </c>
      <c r="F208" s="8">
        <f t="shared" si="44"/>
        <v>163368.04652419878</v>
      </c>
      <c r="G208" s="6">
        <f>F208*'[1]BE Projection'!$C$7</f>
        <v>639.52180741199663</v>
      </c>
      <c r="H208" s="6">
        <f t="shared" si="45"/>
        <v>164007.56833161079</v>
      </c>
      <c r="I208" s="7">
        <f t="shared" si="46"/>
        <v>205.88327711916585</v>
      </c>
      <c r="J208" s="14">
        <f t="shared" si="47"/>
        <v>886.68395712528729</v>
      </c>
      <c r="K208">
        <v>163.25985426562559</v>
      </c>
      <c r="L208" s="8">
        <f t="shared" si="48"/>
        <v>5278.3177952487467</v>
      </c>
      <c r="M208" s="6">
        <f>L208*'[1]BE Projection'!$C$7</f>
        <v>20.662543308384208</v>
      </c>
      <c r="N208" s="7">
        <f t="shared" si="49"/>
        <v>199.9564988831803</v>
      </c>
      <c r="O208" s="16"/>
    </row>
    <row r="209" spans="1:15" x14ac:dyDescent="0.25">
      <c r="A209">
        <v>205</v>
      </c>
      <c r="B209" s="1">
        <f t="shared" si="42"/>
        <v>3.0916873997291844E-2</v>
      </c>
      <c r="C209" s="1">
        <f>'[1]BE Projection'!$J221</f>
        <v>3.7734901076765803E-2</v>
      </c>
      <c r="D209" s="1">
        <f t="shared" si="43"/>
        <v>1.2123947789399261E-3</v>
      </c>
      <c r="E209" s="19">
        <v>5.4063599999999998E-3</v>
      </c>
      <c r="F209" s="8">
        <f t="shared" si="44"/>
        <v>164007.56833161079</v>
      </c>
      <c r="G209" s="6">
        <f>F209*'[1]BE Projection'!$C$7</f>
        <v>642.02528438229217</v>
      </c>
      <c r="H209" s="6">
        <f t="shared" si="45"/>
        <v>164649.59361599307</v>
      </c>
      <c r="I209" s="7">
        <f t="shared" si="46"/>
        <v>199.6203076546106</v>
      </c>
      <c r="J209" s="14">
        <f t="shared" si="47"/>
        <v>890.15497694176031</v>
      </c>
      <c r="K209">
        <v>163.89895253689309</v>
      </c>
      <c r="L209" s="8">
        <f t="shared" si="48"/>
        <v>5099.0238396739514</v>
      </c>
      <c r="M209" s="6">
        <f>L209*'[1]BE Projection'!$C$7</f>
        <v>19.960677815304109</v>
      </c>
      <c r="N209" s="7">
        <f t="shared" si="49"/>
        <v>193.16437438095278</v>
      </c>
      <c r="O209" s="16"/>
    </row>
    <row r="210" spans="1:15" x14ac:dyDescent="0.25">
      <c r="A210">
        <v>206</v>
      </c>
      <c r="B210" s="1">
        <f t="shared" si="42"/>
        <v>2.9750228815401202E-2</v>
      </c>
      <c r="C210" s="1">
        <f>'[1]BE Projection'!$J222</f>
        <v>3.7734901076765803E-2</v>
      </c>
      <c r="D210" s="1">
        <f t="shared" si="43"/>
        <v>1.1666451818906406E-3</v>
      </c>
      <c r="E210" s="19">
        <v>5.4063599999999998E-3</v>
      </c>
      <c r="F210" s="8">
        <f t="shared" si="44"/>
        <v>164649.59361599307</v>
      </c>
      <c r="G210" s="6">
        <f>F210*'[1]BE Projection'!$C$7</f>
        <v>644.53856148272894</v>
      </c>
      <c r="H210" s="6">
        <f t="shared" si="45"/>
        <v>165294.13217747581</v>
      </c>
      <c r="I210" s="7">
        <f t="shared" si="46"/>
        <v>192.83960289964685</v>
      </c>
      <c r="J210" s="14">
        <f t="shared" si="47"/>
        <v>893.63958443901811</v>
      </c>
      <c r="K210">
        <v>164.54055262713001</v>
      </c>
      <c r="L210" s="8">
        <f t="shared" si="48"/>
        <v>4925.8201431083025</v>
      </c>
      <c r="M210" s="6">
        <f>L210*'[1]BE Projection'!$C$7</f>
        <v>19.2826532968332</v>
      </c>
      <c r="N210" s="7">
        <f t="shared" si="49"/>
        <v>186.60296483678573</v>
      </c>
      <c r="O210" s="16"/>
    </row>
    <row r="211" spans="1:15" x14ac:dyDescent="0.25">
      <c r="A211">
        <v>207</v>
      </c>
      <c r="B211" s="1">
        <f t="shared" si="42"/>
        <v>2.8627606874040888E-2</v>
      </c>
      <c r="C211" s="1">
        <f>'[1]BE Projection'!$J223</f>
        <v>3.7734901076765803E-2</v>
      </c>
      <c r="D211" s="1">
        <f t="shared" si="43"/>
        <v>1.1226219413603118E-3</v>
      </c>
      <c r="E211" s="19">
        <v>5.4063599999999998E-3</v>
      </c>
      <c r="F211" s="8">
        <f t="shared" si="44"/>
        <v>165294.13217747581</v>
      </c>
      <c r="G211" s="6">
        <f>F211*'[1]BE Projection'!$C$7</f>
        <v>647.0616770769717</v>
      </c>
      <c r="H211" s="6">
        <f t="shared" si="45"/>
        <v>165941.19385455278</v>
      </c>
      <c r="I211" s="7">
        <f t="shared" si="46"/>
        <v>186.2892251966459</v>
      </c>
      <c r="J211" s="14">
        <f t="shared" si="47"/>
        <v>897.13783280749999</v>
      </c>
      <c r="K211">
        <v>165.18466432997579</v>
      </c>
      <c r="L211" s="8">
        <f t="shared" si="48"/>
        <v>4758.4998315683497</v>
      </c>
      <c r="M211" s="6">
        <f>L211*'[1]BE Projection'!$C$7</f>
        <v>18.627659922489833</v>
      </c>
      <c r="N211" s="7">
        <f t="shared" si="49"/>
        <v>180.26443332250523</v>
      </c>
      <c r="O211" s="16"/>
    </row>
    <row r="212" spans="1:15" x14ac:dyDescent="0.25">
      <c r="A212">
        <v>208</v>
      </c>
      <c r="B212" s="1">
        <f t="shared" si="42"/>
        <v>2.7547346960584414E-2</v>
      </c>
      <c r="C212" s="1">
        <f>'[1]BE Projection'!$J224</f>
        <v>3.7734901076765803E-2</v>
      </c>
      <c r="D212" s="1">
        <f t="shared" si="43"/>
        <v>1.0802599134564735E-3</v>
      </c>
      <c r="E212" s="19">
        <v>5.4063599999999998E-3</v>
      </c>
      <c r="F212" s="8">
        <f t="shared" si="44"/>
        <v>165941.19385455278</v>
      </c>
      <c r="G212" s="6">
        <f>F212*'[1]BE Projection'!$C$7</f>
        <v>649.5946696788634</v>
      </c>
      <c r="H212" s="6">
        <f t="shared" si="45"/>
        <v>166590.78852423164</v>
      </c>
      <c r="I212" s="7">
        <f t="shared" si="46"/>
        <v>179.96135079383217</v>
      </c>
      <c r="J212" s="14">
        <f t="shared" si="47"/>
        <v>900.64977544586498</v>
      </c>
      <c r="K212">
        <v>165.8312974774085</v>
      </c>
      <c r="L212" s="8">
        <f t="shared" si="48"/>
        <v>4596.8630581683346</v>
      </c>
      <c r="M212" s="6">
        <f>L212*'[1]BE Projection'!$C$7</f>
        <v>17.994915370122861</v>
      </c>
      <c r="N212" s="7">
        <f t="shared" si="49"/>
        <v>174.14120911479759</v>
      </c>
      <c r="O212" s="16"/>
    </row>
    <row r="213" spans="1:15" x14ac:dyDescent="0.25">
      <c r="A213">
        <v>209</v>
      </c>
      <c r="B213" s="1">
        <f t="shared" si="42"/>
        <v>2.6507850548099416E-2</v>
      </c>
      <c r="C213" s="1">
        <f>'[1]BE Projection'!$J225</f>
        <v>3.7734901076765803E-2</v>
      </c>
      <c r="D213" s="1">
        <f t="shared" si="43"/>
        <v>1.039496412484998E-3</v>
      </c>
      <c r="E213" s="19">
        <v>5.4063599999999998E-3</v>
      </c>
      <c r="F213" s="8">
        <f t="shared" si="44"/>
        <v>166590.78852423164</v>
      </c>
      <c r="G213" s="6">
        <f>F213*'[1]BE Projection'!$C$7</f>
        <v>652.1375779530141</v>
      </c>
      <c r="H213" s="6">
        <f t="shared" si="45"/>
        <v>167242.92610218466</v>
      </c>
      <c r="I213" s="7">
        <f t="shared" si="46"/>
        <v>173.84842169671458</v>
      </c>
      <c r="J213" s="14">
        <f t="shared" si="47"/>
        <v>904.17546596180705</v>
      </c>
      <c r="K213">
        <v>166.4804619398943</v>
      </c>
      <c r="L213" s="8">
        <f t="shared" si="48"/>
        <v>4440.7167644236597</v>
      </c>
      <c r="M213" s="6">
        <f>L213*'[1]BE Projection'!$C$7</f>
        <v>17.383663891508363</v>
      </c>
      <c r="N213" s="7">
        <f t="shared" si="49"/>
        <v>168.22597865276012</v>
      </c>
      <c r="O213" s="16"/>
    </row>
    <row r="214" spans="1:15" x14ac:dyDescent="0.25">
      <c r="A214">
        <v>210</v>
      </c>
      <c r="B214" s="1">
        <f t="shared" si="42"/>
        <v>2.5507579429909194E-2</v>
      </c>
      <c r="C214" s="1">
        <f>'[1]BE Projection'!$J226</f>
        <v>3.7734901076765803E-2</v>
      </c>
      <c r="D214" s="1">
        <f t="shared" si="43"/>
        <v>1.0002711181902237E-3</v>
      </c>
      <c r="E214" s="19">
        <v>5.4063599999999998E-3</v>
      </c>
      <c r="F214" s="8">
        <f t="shared" si="44"/>
        <v>167242.92610218466</v>
      </c>
      <c r="G214" s="6">
        <f>F214*'[1]BE Projection'!$C$7</f>
        <v>654.69044071539054</v>
      </c>
      <c r="H214" s="6">
        <f t="shared" si="45"/>
        <v>167897.61654290004</v>
      </c>
      <c r="I214" s="7">
        <f t="shared" si="46"/>
        <v>167.94313664084004</v>
      </c>
      <c r="J214" s="14">
        <f t="shared" si="47"/>
        <v>907.71495817287303</v>
      </c>
      <c r="K214">
        <v>167.1321676265384</v>
      </c>
      <c r="L214" s="8">
        <f t="shared" si="48"/>
        <v>4289.8744496624076</v>
      </c>
      <c r="M214" s="6">
        <f>L214*'[1]BE Projection'!$C$7</f>
        <v>16.793175409686206</v>
      </c>
      <c r="N214" s="7">
        <f t="shared" si="49"/>
        <v>162.51167680260539</v>
      </c>
      <c r="O214" s="16"/>
    </row>
    <row r="215" spans="1:15" x14ac:dyDescent="0.25">
      <c r="A215">
        <v>211</v>
      </c>
      <c r="B215" s="1">
        <f t="shared" si="42"/>
        <v>2.4545053443413824E-2</v>
      </c>
      <c r="C215" s="1">
        <f>'[1]BE Projection'!$J227</f>
        <v>3.7734901076765803E-2</v>
      </c>
      <c r="D215" s="1">
        <f t="shared" si="43"/>
        <v>9.6252598649536965E-4</v>
      </c>
      <c r="E215" s="19">
        <v>5.4063599999999998E-3</v>
      </c>
      <c r="F215" s="8">
        <f t="shared" si="44"/>
        <v>167897.61654290004</v>
      </c>
      <c r="G215" s="6">
        <f>F215*'[1]BE Projection'!$C$7</f>
        <v>657.25329693390836</v>
      </c>
      <c r="H215" s="6">
        <f t="shared" si="45"/>
        <v>168554.86983983396</v>
      </c>
      <c r="I215" s="7">
        <f t="shared" si="46"/>
        <v>162.23844237118482</v>
      </c>
      <c r="J215" s="14">
        <f t="shared" si="47"/>
        <v>911.26830610728473</v>
      </c>
      <c r="K215">
        <v>167.78642448523641</v>
      </c>
      <c r="L215" s="8">
        <f t="shared" si="48"/>
        <v>4144.1559482694884</v>
      </c>
      <c r="M215" s="6">
        <f>L215*'[1]BE Projection'!$C$7</f>
        <v>16.222744646958297</v>
      </c>
      <c r="N215" s="7">
        <f t="shared" si="49"/>
        <v>156.99147841908635</v>
      </c>
      <c r="O215" s="16"/>
    </row>
    <row r="216" spans="1:15" x14ac:dyDescent="0.25">
      <c r="A216">
        <v>212</v>
      </c>
      <c r="B216" s="1">
        <f t="shared" si="42"/>
        <v>2.3618848279802672E-2</v>
      </c>
      <c r="C216" s="1">
        <f>'[1]BE Projection'!$J228</f>
        <v>3.7734901076765803E-2</v>
      </c>
      <c r="D216" s="1">
        <f t="shared" si="43"/>
        <v>9.2620516361115049E-4</v>
      </c>
      <c r="E216" s="19">
        <v>5.4063599999999998E-3</v>
      </c>
      <c r="F216" s="8">
        <f t="shared" si="44"/>
        <v>168554.86983983396</v>
      </c>
      <c r="G216" s="6">
        <f>F216*'[1]BE Projection'!$C$7</f>
        <v>659.82618572902788</v>
      </c>
      <c r="H216" s="6">
        <f t="shared" si="45"/>
        <v>169214.696025563</v>
      </c>
      <c r="I216" s="7">
        <f t="shared" si="46"/>
        <v>156.72752521776766</v>
      </c>
      <c r="J216" s="14">
        <f t="shared" si="47"/>
        <v>914.83556400476277</v>
      </c>
      <c r="K216">
        <v>168.44324250282571</v>
      </c>
      <c r="L216" s="8">
        <f t="shared" si="48"/>
        <v>4003.3872144973607</v>
      </c>
      <c r="M216" s="6">
        <f>L216*'[1]BE Projection'!$C$7</f>
        <v>15.671690282506958</v>
      </c>
      <c r="N216" s="7">
        <f t="shared" si="49"/>
        <v>151.65879019356302</v>
      </c>
      <c r="O216" s="16"/>
    </row>
    <row r="217" spans="1:15" x14ac:dyDescent="0.25">
      <c r="A217">
        <v>213</v>
      </c>
      <c r="B217" s="1">
        <f t="shared" si="42"/>
        <v>2.2727593376417179E-2</v>
      </c>
      <c r="C217" s="1">
        <f>'[1]BE Projection'!$J229</f>
        <v>3.7734901076765803E-2</v>
      </c>
      <c r="D217" s="1">
        <f t="shared" si="43"/>
        <v>8.9125490338549398E-4</v>
      </c>
      <c r="E217" s="19">
        <v>5.4063599999999998E-3</v>
      </c>
      <c r="F217" s="8">
        <f t="shared" si="44"/>
        <v>169214.696025563</v>
      </c>
      <c r="G217" s="6">
        <f>F217*'[1]BE Projection'!$C$7</f>
        <v>662.40914637435026</v>
      </c>
      <c r="H217" s="6">
        <f t="shared" si="45"/>
        <v>169877.10517193735</v>
      </c>
      <c r="I217" s="7">
        <f t="shared" si="46"/>
        <v>151.40380295742241</v>
      </c>
      <c r="J217" s="14">
        <f t="shared" si="47"/>
        <v>918.41678631735522</v>
      </c>
      <c r="K217">
        <v>169.10263170523851</v>
      </c>
      <c r="L217" s="8">
        <f t="shared" si="48"/>
        <v>3867.4001145863044</v>
      </c>
      <c r="M217" s="6">
        <f>L217*'[1]BE Projection'!$C$7</f>
        <v>15.139354138627361</v>
      </c>
      <c r="N217" s="7">
        <f t="shared" si="49"/>
        <v>146.50724277897416</v>
      </c>
      <c r="O217" s="16"/>
    </row>
    <row r="218" spans="1:15" x14ac:dyDescent="0.25">
      <c r="A218">
        <v>214</v>
      </c>
      <c r="B218" s="1">
        <f t="shared" si="42"/>
        <v>2.1869969888645119E-2</v>
      </c>
      <c r="C218" s="1">
        <f>'[1]BE Projection'!$J230</f>
        <v>3.7734901076765803E-2</v>
      </c>
      <c r="D218" s="1">
        <f t="shared" si="43"/>
        <v>8.5762348777206E-4</v>
      </c>
      <c r="E218" s="19">
        <v>5.4063599999999998E-3</v>
      </c>
      <c r="F218" s="8">
        <f t="shared" si="44"/>
        <v>169877.10517193735</v>
      </c>
      <c r="G218" s="6">
        <f>F218*'[1]BE Projection'!$C$7</f>
        <v>665.00221829721738</v>
      </c>
      <c r="H218" s="6">
        <f t="shared" si="45"/>
        <v>170542.10739023457</v>
      </c>
      <c r="I218" s="7">
        <f t="shared" si="46"/>
        <v>146.26091695201018</v>
      </c>
      <c r="J218" s="14">
        <f t="shared" si="47"/>
        <v>922.01202771026851</v>
      </c>
      <c r="K218">
        <v>169.76460215765459</v>
      </c>
      <c r="L218" s="8">
        <f t="shared" si="48"/>
        <v>3736.0322259459576</v>
      </c>
      <c r="M218" s="6">
        <f>L218*'[1]BE Projection'!$C$7</f>
        <v>14.625100394602038</v>
      </c>
      <c r="N218" s="7">
        <f t="shared" si="49"/>
        <v>141.53068318230794</v>
      </c>
      <c r="O218" s="16"/>
    </row>
    <row r="219" spans="1:15" x14ac:dyDescent="0.25">
      <c r="A219">
        <v>215</v>
      </c>
      <c r="B219" s="1">
        <f t="shared" si="42"/>
        <v>2.1044708738345248E-2</v>
      </c>
      <c r="C219" s="1">
        <f>'[1]BE Projection'!$J231</f>
        <v>3.7734901076765803E-2</v>
      </c>
      <c r="D219" s="1">
        <f t="shared" si="43"/>
        <v>8.2526115029987041E-4</v>
      </c>
      <c r="E219" s="19">
        <v>5.4063599999999998E-3</v>
      </c>
      <c r="F219" s="8">
        <f t="shared" si="44"/>
        <v>170542.10739023457</v>
      </c>
      <c r="G219" s="6">
        <f>F219*'[1]BE Projection'!$C$7</f>
        <v>667.60544107931412</v>
      </c>
      <c r="H219" s="6">
        <f t="shared" si="45"/>
        <v>171209.71283131387</v>
      </c>
      <c r="I219" s="7">
        <f t="shared" si="46"/>
        <v>141.29272455368056</v>
      </c>
      <c r="J219" s="14">
        <f t="shared" si="47"/>
        <v>925.62134306270195</v>
      </c>
      <c r="K219">
        <v>170.42916396465489</v>
      </c>
      <c r="L219" s="8">
        <f t="shared" si="48"/>
        <v>3609.1266431582517</v>
      </c>
      <c r="M219" s="6">
        <f>L219*'[1]BE Projection'!$C$7</f>
        <v>14.128314827278475</v>
      </c>
      <c r="N219" s="7">
        <f t="shared" si="49"/>
        <v>136.72316741548522</v>
      </c>
      <c r="O219" s="16"/>
    </row>
    <row r="220" spans="1:15" x14ac:dyDescent="0.25">
      <c r="A220">
        <v>216</v>
      </c>
      <c r="B220" s="1">
        <f t="shared" si="42"/>
        <v>2.025058873591444E-2</v>
      </c>
      <c r="C220" s="1">
        <f>'[1]BE Projection'!$J232</f>
        <v>4.1629434194850434E-2</v>
      </c>
      <c r="D220" s="1">
        <f t="shared" si="43"/>
        <v>8.7607931757273741E-4</v>
      </c>
      <c r="E220" s="19">
        <v>5.4063599999999998E-3</v>
      </c>
      <c r="F220" s="8">
        <f t="shared" si="44"/>
        <v>171209.71283131387</v>
      </c>
      <c r="G220" s="6">
        <f>F220*'[1]BE Projection'!$C$7</f>
        <v>670.2188544572715</v>
      </c>
      <c r="H220" s="6">
        <f t="shared" si="45"/>
        <v>171879.93168577115</v>
      </c>
      <c r="I220" s="7">
        <f t="shared" si="46"/>
        <v>150.58045325571911</v>
      </c>
      <c r="J220" s="14">
        <f t="shared" si="47"/>
        <v>929.24478746868567</v>
      </c>
      <c r="K220">
        <v>116.572027158975</v>
      </c>
      <c r="L220" s="8">
        <f t="shared" si="48"/>
        <v>3486.5317905700454</v>
      </c>
      <c r="M220" s="6">
        <f>L220*'[1]BE Projection'!$C$7</f>
        <v>13.648404077442803</v>
      </c>
      <c r="N220" s="7">
        <f t="shared" si="49"/>
        <v>145.7105210831964</v>
      </c>
      <c r="O220" s="16"/>
    </row>
    <row r="221" spans="1:15" x14ac:dyDescent="0.25">
      <c r="A221">
        <v>217</v>
      </c>
      <c r="B221" s="1">
        <f t="shared" si="42"/>
        <v>1.940756818472571E-2</v>
      </c>
      <c r="C221" s="1">
        <f>'[1]BE Projection'!$J233</f>
        <v>4.1629434194850434E-2</v>
      </c>
      <c r="D221" s="1">
        <f t="shared" si="43"/>
        <v>8.4302055118872963E-4</v>
      </c>
      <c r="E221" s="19">
        <v>5.4063599999999998E-3</v>
      </c>
      <c r="F221" s="8">
        <f t="shared" si="44"/>
        <v>171879.93168577115</v>
      </c>
      <c r="G221" s="6">
        <f>F221*'[1]BE Projection'!$C$7</f>
        <v>672.84249832327464</v>
      </c>
      <c r="H221" s="6">
        <f t="shared" si="45"/>
        <v>172552.77418409442</v>
      </c>
      <c r="I221" s="7">
        <f t="shared" si="46"/>
        <v>145.46553480181967</v>
      </c>
      <c r="J221" s="14">
        <f t="shared" si="47"/>
        <v>932.88241623792067</v>
      </c>
      <c r="K221">
        <v>117.0283609059979</v>
      </c>
      <c r="L221" s="8">
        <f t="shared" si="48"/>
        <v>3354.4696735642915</v>
      </c>
      <c r="M221" s="6">
        <f>L221*'[1]BE Projection'!$C$7</f>
        <v>13.131432701735839</v>
      </c>
      <c r="N221" s="7">
        <f t="shared" si="49"/>
        <v>140.1913286478071</v>
      </c>
      <c r="O221" s="16"/>
    </row>
    <row r="222" spans="1:15" x14ac:dyDescent="0.25">
      <c r="A222">
        <v>218</v>
      </c>
      <c r="B222" s="1">
        <f t="shared" si="42"/>
        <v>1.8599642102097597E-2</v>
      </c>
      <c r="C222" s="1">
        <f>'[1]BE Projection'!$J234</f>
        <v>4.1629434194850434E-2</v>
      </c>
      <c r="D222" s="1">
        <f t="shared" si="43"/>
        <v>8.0792608262811186E-4</v>
      </c>
      <c r="E222" s="19">
        <v>5.4063599999999998E-3</v>
      </c>
      <c r="F222" s="8">
        <f t="shared" si="44"/>
        <v>172552.77418409442</v>
      </c>
      <c r="G222" s="6">
        <f>F222*'[1]BE Projection'!$C$7</f>
        <v>675.47641272567012</v>
      </c>
      <c r="H222" s="6">
        <f t="shared" si="45"/>
        <v>173228.25059682009</v>
      </c>
      <c r="I222" s="7">
        <f t="shared" si="46"/>
        <v>139.95562190520974</v>
      </c>
      <c r="J222" s="14">
        <f t="shared" si="47"/>
        <v>936.53428489662417</v>
      </c>
      <c r="K222">
        <v>117.486481020589</v>
      </c>
      <c r="L222" s="8">
        <f t="shared" si="48"/>
        <v>3227.4097776182202</v>
      </c>
      <c r="M222" s="6">
        <f>L222*'[1]BE Projection'!$C$7</f>
        <v>12.63404305893947</v>
      </c>
      <c r="N222" s="7">
        <f t="shared" si="49"/>
        <v>134.88119102131159</v>
      </c>
      <c r="O222" s="16"/>
    </row>
    <row r="223" spans="1:15" x14ac:dyDescent="0.25">
      <c r="A223">
        <v>219</v>
      </c>
      <c r="B223" s="1">
        <f t="shared" si="42"/>
        <v>1.7825349525160555E-2</v>
      </c>
      <c r="C223" s="1">
        <f>'[1]BE Projection'!$J235</f>
        <v>4.1629434194850434E-2</v>
      </c>
      <c r="D223" s="1">
        <f t="shared" si="43"/>
        <v>7.7429257693704154E-4</v>
      </c>
      <c r="E223" s="19">
        <v>5.4063599999999998E-3</v>
      </c>
      <c r="F223" s="8">
        <f t="shared" si="44"/>
        <v>173228.25059682009</v>
      </c>
      <c r="G223" s="6">
        <f>F223*'[1]BE Projection'!$C$7</f>
        <v>678.12063786957856</v>
      </c>
      <c r="H223" s="6">
        <f t="shared" si="45"/>
        <v>173906.37123468966</v>
      </c>
      <c r="I223" s="7">
        <f t="shared" si="46"/>
        <v>134.65441232907764</v>
      </c>
      <c r="J223" s="14">
        <f t="shared" si="47"/>
        <v>940.20044918837675</v>
      </c>
      <c r="K223">
        <v>117.9463944956764</v>
      </c>
      <c r="L223" s="8">
        <f t="shared" si="48"/>
        <v>3105.1626296558479</v>
      </c>
      <c r="M223" s="6">
        <f>L223*'[1]BE Projection'!$C$7</f>
        <v>12.155493436297826</v>
      </c>
      <c r="N223" s="7">
        <f t="shared" si="49"/>
        <v>129.77218966967916</v>
      </c>
      <c r="O223" s="16"/>
    </row>
    <row r="224" spans="1:15" x14ac:dyDescent="0.25">
      <c r="A224">
        <v>220</v>
      </c>
      <c r="B224" s="1">
        <f t="shared" si="42"/>
        <v>1.7083290310102674E-2</v>
      </c>
      <c r="C224" s="1">
        <f>'[1]BE Projection'!$J236</f>
        <v>4.1629434194850434E-2</v>
      </c>
      <c r="D224" s="1">
        <f t="shared" si="43"/>
        <v>7.420592150578797E-4</v>
      </c>
      <c r="E224" s="19">
        <v>5.4063599999999998E-3</v>
      </c>
      <c r="F224" s="8">
        <f t="shared" si="44"/>
        <v>173906.37123468966</v>
      </c>
      <c r="G224" s="6">
        <f>F224*'[1]BE Projection'!$C$7</f>
        <v>680.77521411750774</v>
      </c>
      <c r="H224" s="6">
        <f t="shared" si="45"/>
        <v>174587.14644880718</v>
      </c>
      <c r="I224" s="7">
        <f t="shared" si="46"/>
        <v>129.55400085299695</v>
      </c>
      <c r="J224" s="14">
        <f t="shared" si="47"/>
        <v>943.88096507497312</v>
      </c>
      <c r="K224">
        <v>118.4081083515626</v>
      </c>
      <c r="L224" s="8">
        <f t="shared" si="48"/>
        <v>2987.545933422467</v>
      </c>
      <c r="M224" s="6">
        <f>L224*'[1]BE Projection'!$C$7</f>
        <v>11.695070215494621</v>
      </c>
      <c r="N224" s="7">
        <f t="shared" si="49"/>
        <v>124.85670599544369</v>
      </c>
      <c r="O224" s="16"/>
    </row>
    <row r="225" spans="1:15" x14ac:dyDescent="0.25">
      <c r="A225">
        <v>221</v>
      </c>
      <c r="B225" s="1">
        <f t="shared" si="42"/>
        <v>1.6372122600306727E-2</v>
      </c>
      <c r="C225" s="1">
        <f>'[1]BE Projection'!$J237</f>
        <v>4.1629434194850434E-2</v>
      </c>
      <c r="D225" s="1">
        <f t="shared" si="43"/>
        <v>7.1116770979594529E-4</v>
      </c>
      <c r="E225" s="19">
        <v>5.4063599999999998E-3</v>
      </c>
      <c r="F225" s="8">
        <f t="shared" si="44"/>
        <v>174587.14644880718</v>
      </c>
      <c r="G225" s="6">
        <f>F225*'[1]BE Projection'!$C$7</f>
        <v>683.44018198996878</v>
      </c>
      <c r="H225" s="6">
        <f t="shared" si="45"/>
        <v>175270.58663079716</v>
      </c>
      <c r="I225" s="7">
        <f t="shared" si="46"/>
        <v>124.64678168881584</v>
      </c>
      <c r="J225" s="14">
        <f t="shared" si="47"/>
        <v>947.5758887372765</v>
      </c>
      <c r="K225">
        <v>118.8716296360324</v>
      </c>
      <c r="L225" s="8">
        <f t="shared" si="48"/>
        <v>2874.3842976425176</v>
      </c>
      <c r="M225" s="6">
        <f>L225*'[1]BE Projection'!$C$7</f>
        <v>11.25208680849788</v>
      </c>
      <c r="N225" s="7">
        <f t="shared" si="49"/>
        <v>120.12740997676968</v>
      </c>
      <c r="O225" s="16"/>
    </row>
    <row r="226" spans="1:15" x14ac:dyDescent="0.25">
      <c r="A226">
        <v>222</v>
      </c>
      <c r="B226" s="1">
        <f t="shared" si="42"/>
        <v>1.5690560399887234E-2</v>
      </c>
      <c r="C226" s="1">
        <f>'[1]BE Projection'!$J238</f>
        <v>4.1629434194850434E-2</v>
      </c>
      <c r="D226" s="1">
        <f t="shared" si="43"/>
        <v>6.8156220041949245E-4</v>
      </c>
      <c r="E226" s="19">
        <v>5.4063599999999998E-3</v>
      </c>
      <c r="F226" s="8">
        <f t="shared" si="44"/>
        <v>175270.58663079716</v>
      </c>
      <c r="G226" s="6">
        <f>F226*'[1]BE Projection'!$C$7</f>
        <v>686.1155821660949</v>
      </c>
      <c r="H226" s="6">
        <f t="shared" si="45"/>
        <v>175956.70221296325</v>
      </c>
      <c r="I226" s="7">
        <f t="shared" si="46"/>
        <v>119.92543713882461</v>
      </c>
      <c r="J226" s="14">
        <f t="shared" si="47"/>
        <v>951.28527657607594</v>
      </c>
      <c r="K226">
        <v>119.33696542445909</v>
      </c>
      <c r="L226" s="8">
        <f t="shared" si="48"/>
        <v>2765.5089744742459</v>
      </c>
      <c r="M226" s="6">
        <f>L226*'[1]BE Projection'!$C$7</f>
        <v>10.825882633712546</v>
      </c>
      <c r="N226" s="7">
        <f t="shared" si="49"/>
        <v>115.57724923684523</v>
      </c>
      <c r="O226" s="16"/>
    </row>
    <row r="227" spans="1:15" x14ac:dyDescent="0.25">
      <c r="A227">
        <v>223</v>
      </c>
      <c r="B227" s="1">
        <f t="shared" si="42"/>
        <v>1.5037371248239803E-2</v>
      </c>
      <c r="C227" s="1">
        <f>'[1]BE Projection'!$J239</f>
        <v>4.1629434194850434E-2</v>
      </c>
      <c r="D227" s="1">
        <f t="shared" si="43"/>
        <v>6.5318915164743168E-4</v>
      </c>
      <c r="E227" s="19">
        <v>5.4063599999999998E-3</v>
      </c>
      <c r="F227" s="8">
        <f t="shared" si="44"/>
        <v>175956.70221296325</v>
      </c>
      <c r="G227" s="6">
        <f>F227*'[1]BE Projection'!$C$7</f>
        <v>688.80145548426185</v>
      </c>
      <c r="H227" s="6">
        <f t="shared" si="45"/>
        <v>176645.50366844752</v>
      </c>
      <c r="I227" s="7">
        <f t="shared" si="46"/>
        <v>115.38292668352652</v>
      </c>
      <c r="J227" s="14">
        <f t="shared" si="47"/>
        <v>955.00918521294795</v>
      </c>
      <c r="K227">
        <v>119.804122819914</v>
      </c>
      <c r="L227" s="8">
        <f t="shared" si="48"/>
        <v>2660.7576078711131</v>
      </c>
      <c r="M227" s="6">
        <f>L227*'[1]BE Projection'!$C$7</f>
        <v>10.415822130914105</v>
      </c>
      <c r="N227" s="7">
        <f t="shared" si="49"/>
        <v>111.19943852730231</v>
      </c>
      <c r="O227" s="16"/>
    </row>
    <row r="228" spans="1:15" x14ac:dyDescent="0.25">
      <c r="A228">
        <v>224</v>
      </c>
      <c r="B228" s="1">
        <f t="shared" si="42"/>
        <v>1.4411373991397669E-2</v>
      </c>
      <c r="C228" s="1">
        <f>'[1]BE Projection'!$J240</f>
        <v>4.1629434194850434E-2</v>
      </c>
      <c r="D228" s="1">
        <f t="shared" si="43"/>
        <v>6.2599725684213479E-4</v>
      </c>
      <c r="E228" s="19">
        <v>5.4063599999999998E-3</v>
      </c>
      <c r="F228" s="8">
        <f t="shared" si="44"/>
        <v>176645.50366844752</v>
      </c>
      <c r="G228" s="6">
        <f>F228*'[1]BE Projection'!$C$7</f>
        <v>691.49784294271171</v>
      </c>
      <c r="H228" s="6">
        <f t="shared" si="45"/>
        <v>177337.00151139023</v>
      </c>
      <c r="I228" s="7">
        <f t="shared" si="46"/>
        <v>111.0124764827398</v>
      </c>
      <c r="J228" s="14">
        <f t="shared" si="47"/>
        <v>958.74767149111972</v>
      </c>
      <c r="K228">
        <v>120.2731089532739</v>
      </c>
      <c r="L228" s="8">
        <f t="shared" si="48"/>
        <v>2559.9739914747247</v>
      </c>
      <c r="M228" s="6">
        <f>L228*'[1]BE Projection'!$C$7</f>
        <v>10.021293813494403</v>
      </c>
      <c r="N228" s="7">
        <f t="shared" si="49"/>
        <v>106.98744960998179</v>
      </c>
      <c r="O228" s="16"/>
    </row>
    <row r="229" spans="1:15" x14ac:dyDescent="0.25">
      <c r="A229">
        <v>225</v>
      </c>
      <c r="B229" s="1">
        <f t="shared" si="42"/>
        <v>1.3811436646165401E-2</v>
      </c>
      <c r="C229" s="1">
        <f>'[1]BE Projection'!$J241</f>
        <v>4.1629434194850434E-2</v>
      </c>
      <c r="D229" s="1">
        <f t="shared" si="43"/>
        <v>5.9993734523226827E-4</v>
      </c>
      <c r="E229" s="19">
        <v>5.4063599999999998E-3</v>
      </c>
      <c r="F229" s="8">
        <f t="shared" si="44"/>
        <v>177337.00151139023</v>
      </c>
      <c r="G229" s="6">
        <f>F229*'[1]BE Projection'!$C$7</f>
        <v>694.20478570017883</v>
      </c>
      <c r="H229" s="6">
        <f t="shared" si="45"/>
        <v>178031.20629709042</v>
      </c>
      <c r="I229" s="7">
        <f t="shared" si="46"/>
        <v>106.80756927437471</v>
      </c>
      <c r="J229" s="14">
        <f t="shared" si="47"/>
        <v>962.50079247633778</v>
      </c>
      <c r="K229">
        <v>120.74393098333</v>
      </c>
      <c r="L229" s="8">
        <f t="shared" si="48"/>
        <v>2463.0078356782374</v>
      </c>
      <c r="M229" s="6">
        <f>L229*'[1]BE Projection'!$C$7</f>
        <v>9.6417093566062722</v>
      </c>
      <c r="N229" s="7">
        <f t="shared" si="49"/>
        <v>102.9350015219549</v>
      </c>
      <c r="O229" s="16"/>
    </row>
    <row r="230" spans="1:15" x14ac:dyDescent="0.25">
      <c r="A230">
        <v>226</v>
      </c>
      <c r="B230" s="1">
        <f t="shared" si="42"/>
        <v>1.3236474353167512E-2</v>
      </c>
      <c r="C230" s="1">
        <f>'[1]BE Projection'!$J242</f>
        <v>4.1629434194850434E-2</v>
      </c>
      <c r="D230" s="1">
        <f t="shared" si="43"/>
        <v>5.7496229299788836E-4</v>
      </c>
      <c r="E230" s="19">
        <v>5.4063599999999998E-3</v>
      </c>
      <c r="F230" s="8">
        <f t="shared" si="44"/>
        <v>178031.20629709042</v>
      </c>
      <c r="G230" s="6">
        <f>F230*'[1]BE Projection'!$C$7</f>
        <v>696.9223250765175</v>
      </c>
      <c r="H230" s="6">
        <f t="shared" si="45"/>
        <v>178728.12862216693</v>
      </c>
      <c r="I230" s="7">
        <f t="shared" si="46"/>
        <v>102.76193465582261</v>
      </c>
      <c r="J230" s="14">
        <f t="shared" si="47"/>
        <v>966.26860545773832</v>
      </c>
      <c r="K230">
        <v>121.2165960968975</v>
      </c>
      <c r="L230" s="8">
        <f t="shared" si="48"/>
        <v>2369.7145435128891</v>
      </c>
      <c r="M230" s="6">
        <f>L230*'[1]BE Projection'!$C$7</f>
        <v>9.2765027198472207</v>
      </c>
      <c r="N230" s="7">
        <f t="shared" si="49"/>
        <v>99.036051209284082</v>
      </c>
      <c r="O230" s="16"/>
    </row>
    <row r="231" spans="1:15" x14ac:dyDescent="0.25">
      <c r="A231">
        <v>227</v>
      </c>
      <c r="B231" s="1">
        <f t="shared" si="42"/>
        <v>1.2685447415110501E-2</v>
      </c>
      <c r="C231" s="1">
        <f>'[1]BE Projection'!$J243</f>
        <v>4.1629434194850434E-2</v>
      </c>
      <c r="D231" s="1">
        <f t="shared" si="43"/>
        <v>5.5102693805701242E-4</v>
      </c>
      <c r="E231" s="19">
        <v>5.4063599999999998E-3</v>
      </c>
      <c r="F231" s="8">
        <f t="shared" si="44"/>
        <v>178728.12862216693</v>
      </c>
      <c r="G231" s="6">
        <f>F231*'[1]BE Projection'!$C$7</f>
        <v>699.65050255333324</v>
      </c>
      <c r="H231" s="6">
        <f t="shared" si="45"/>
        <v>179427.77912472025</v>
      </c>
      <c r="I231" s="7">
        <f t="shared" si="46"/>
        <v>98.869539733464535</v>
      </c>
      <c r="J231" s="14">
        <f t="shared" si="47"/>
        <v>970.05116794872254</v>
      </c>
      <c r="K231">
        <v>121.6911115089254</v>
      </c>
      <c r="L231" s="8">
        <f t="shared" si="48"/>
        <v>2279.9549950234523</v>
      </c>
      <c r="M231" s="6">
        <f>L231*'[1]BE Projection'!$C$7</f>
        <v>8.9251293031739269</v>
      </c>
      <c r="N231" s="7">
        <f t="shared" si="49"/>
        <v>95.284784515556368</v>
      </c>
      <c r="O231" s="16"/>
    </row>
    <row r="232" spans="1:15" x14ac:dyDescent="0.25">
      <c r="A232">
        <v>228</v>
      </c>
      <c r="B232" s="1">
        <f t="shared" si="42"/>
        <v>1.2157359416710922E-2</v>
      </c>
      <c r="C232" s="1">
        <f>'[1]BE Projection'!$J244</f>
        <v>4.587488830194264E-2</v>
      </c>
      <c r="D232" s="1">
        <f t="shared" si="43"/>
        <v>5.8194348322836121E-4</v>
      </c>
      <c r="E232" s="19">
        <v>5.4063599999999998E-3</v>
      </c>
      <c r="F232" s="8">
        <f t="shared" si="44"/>
        <v>179427.77912472025</v>
      </c>
      <c r="G232" s="6">
        <f>F232*'[1]BE Projection'!$C$7</f>
        <v>702.38935977461563</v>
      </c>
      <c r="H232" s="6">
        <f t="shared" si="45"/>
        <v>180130.16848449488</v>
      </c>
      <c r="I232" s="7">
        <f t="shared" si="46"/>
        <v>104.82557768237852</v>
      </c>
      <c r="J232" s="14">
        <f t="shared" si="47"/>
        <v>973.84853768783364</v>
      </c>
      <c r="K232">
        <v>79.058765131467837</v>
      </c>
      <c r="L232" s="8">
        <f t="shared" si="48"/>
        <v>2193.5953398110696</v>
      </c>
      <c r="M232" s="6">
        <f>L232*'[1]BE Projection'!$C$7</f>
        <v>8.5870651347888369</v>
      </c>
      <c r="N232" s="7">
        <f t="shared" si="49"/>
        <v>101.02487184739466</v>
      </c>
      <c r="O232" s="16"/>
    </row>
    <row r="233" spans="1:15" x14ac:dyDescent="0.25">
      <c r="A233">
        <v>229</v>
      </c>
      <c r="B233" s="1">
        <f t="shared" si="42"/>
        <v>1.1599641911422738E-2</v>
      </c>
      <c r="C233" s="1">
        <f>'[1]BE Projection'!$J245</f>
        <v>4.587488830194264E-2</v>
      </c>
      <c r="D233" s="1">
        <f t="shared" si="43"/>
        <v>5.5771750528818412E-4</v>
      </c>
      <c r="E233" s="19">
        <v>5.4063599999999998E-3</v>
      </c>
      <c r="F233" s="8">
        <f t="shared" si="44"/>
        <v>180130.16848449488</v>
      </c>
      <c r="G233" s="6">
        <f>F233*'[1]BE Projection'!$C$7</f>
        <v>705.13893854737455</v>
      </c>
      <c r="H233" s="6">
        <f t="shared" si="45"/>
        <v>180835.30742304225</v>
      </c>
      <c r="I233" s="7">
        <f t="shared" si="46"/>
        <v>100.85501652400097</v>
      </c>
      <c r="J233" s="14">
        <f t="shared" si="47"/>
        <v>977.66077263963871</v>
      </c>
      <c r="K233">
        <v>79.368249176711785</v>
      </c>
      <c r="L233" s="8">
        <f t="shared" si="48"/>
        <v>2101.1575330984638</v>
      </c>
      <c r="M233" s="6">
        <f>L233*'[1]BE Projection'!$C$7</f>
        <v>8.2252073879418131</v>
      </c>
      <c r="N233" s="7">
        <f t="shared" si="49"/>
        <v>96.76769760585951</v>
      </c>
      <c r="O233" s="16"/>
    </row>
    <row r="234" spans="1:15" x14ac:dyDescent="0.25">
      <c r="A234">
        <v>230</v>
      </c>
      <c r="B234" s="1">
        <f t="shared" ref="B234:B245" si="50">B233*(1-C233)</f>
        <v>1.1067509634393688E-2</v>
      </c>
      <c r="C234" s="1">
        <f>'[1]BE Projection'!$J246</f>
        <v>4.587488830194264E-2</v>
      </c>
      <c r="D234" s="1">
        <f t="shared" ref="D234:D245" si="51">B233*C234</f>
        <v>5.3213227702905057E-4</v>
      </c>
      <c r="E234" s="19">
        <v>5.4063599999999998E-3</v>
      </c>
      <c r="F234" s="8">
        <f t="shared" ref="F234:F245" si="52">H233</f>
        <v>180835.30742304225</v>
      </c>
      <c r="G234" s="6">
        <f>F234*'[1]BE Projection'!$C$7</f>
        <v>707.89928084227734</v>
      </c>
      <c r="H234" s="6">
        <f t="shared" ref="H234:H245" si="53">SUM(F234:G234)</f>
        <v>181543.20670388453</v>
      </c>
      <c r="I234" s="7">
        <f t="shared" ref="I234:I245" si="54">H234*D234</f>
        <v>96.604999962493679</v>
      </c>
      <c r="J234" s="14">
        <f t="shared" ref="J234:J245" si="55">H234*E234</f>
        <v>981.48793099561317</v>
      </c>
      <c r="K234">
        <v>79.678944730560787</v>
      </c>
      <c r="L234" s="8">
        <f t="shared" ref="L234:L245" si="56">L233+M233-N233</f>
        <v>2012.6150428805461</v>
      </c>
      <c r="M234" s="6">
        <f>L234*'[1]BE Projection'!$C$7</f>
        <v>7.8785982769089875</v>
      </c>
      <c r="N234" s="7">
        <f t="shared" ref="N234:N245" si="57">(L234+M234)*C234</f>
        <v>92.689920102883633</v>
      </c>
      <c r="O234" s="16"/>
    </row>
    <row r="235" spans="1:15" x14ac:dyDescent="0.25">
      <c r="A235">
        <v>231</v>
      </c>
      <c r="B235" s="1">
        <f t="shared" si="50"/>
        <v>1.0559788866135204E-2</v>
      </c>
      <c r="C235" s="1">
        <f>'[1]BE Projection'!$J247</f>
        <v>4.587488830194264E-2</v>
      </c>
      <c r="D235" s="1">
        <f t="shared" si="51"/>
        <v>5.0772076825848452E-4</v>
      </c>
      <c r="E235" s="19">
        <v>5.4063599999999998E-3</v>
      </c>
      <c r="F235" s="8">
        <f t="shared" si="52"/>
        <v>181543.20670388453</v>
      </c>
      <c r="G235" s="6">
        <f>F235*'[1]BE Projection'!$C$7</f>
        <v>710.67042879429039</v>
      </c>
      <c r="H235" s="6">
        <f t="shared" si="53"/>
        <v>182253.87713267881</v>
      </c>
      <c r="I235" s="7">
        <f t="shared" si="54"/>
        <v>92.534078515891125</v>
      </c>
      <c r="J235" s="14">
        <f t="shared" si="55"/>
        <v>985.33007117502939</v>
      </c>
      <c r="K235">
        <v>79.990856535595626</v>
      </c>
      <c r="L235" s="8">
        <f t="shared" si="56"/>
        <v>1927.8037210545715</v>
      </c>
      <c r="M235" s="6">
        <f>L235*'[1]BE Projection'!$C$7</f>
        <v>7.546595226268888</v>
      </c>
      <c r="N235" s="7">
        <f t="shared" si="57"/>
        <v>88.78397958451292</v>
      </c>
      <c r="O235" s="16"/>
    </row>
    <row r="236" spans="1:15" x14ac:dyDescent="0.25">
      <c r="A236">
        <v>232</v>
      </c>
      <c r="B236" s="1">
        <f t="shared" si="50"/>
        <v>1.0075359731409154E-2</v>
      </c>
      <c r="C236" s="1">
        <f>'[1]BE Projection'!$J248</f>
        <v>4.587488830194264E-2</v>
      </c>
      <c r="D236" s="1">
        <f t="shared" si="51"/>
        <v>4.8442913472605001E-4</v>
      </c>
      <c r="E236" s="19">
        <v>5.4063599999999998E-3</v>
      </c>
      <c r="F236" s="8">
        <f t="shared" si="52"/>
        <v>182253.87713267881</v>
      </c>
      <c r="G236" s="6">
        <f>F236*'[1]BE Projection'!$C$7</f>
        <v>713.45242470332187</v>
      </c>
      <c r="H236" s="6">
        <f t="shared" si="53"/>
        <v>182967.32955738212</v>
      </c>
      <c r="I236" s="7">
        <f t="shared" si="54"/>
        <v>88.634705140618664</v>
      </c>
      <c r="J236" s="14">
        <f t="shared" si="55"/>
        <v>989.18725182584842</v>
      </c>
      <c r="K236">
        <v>80.303989352962518</v>
      </c>
      <c r="L236" s="8">
        <f t="shared" si="56"/>
        <v>1846.5663366963274</v>
      </c>
      <c r="M236" s="6">
        <f>L236*'[1]BE Projection'!$C$7</f>
        <v>7.2285827386401529</v>
      </c>
      <c r="N236" s="7">
        <f t="shared" si="57"/>
        <v>85.042634863787896</v>
      </c>
      <c r="O236" s="16"/>
    </row>
    <row r="237" spans="1:15" x14ac:dyDescent="0.25">
      <c r="A237">
        <v>233</v>
      </c>
      <c r="B237" s="1">
        <f t="shared" si="50"/>
        <v>9.6131537291288694E-3</v>
      </c>
      <c r="C237" s="1">
        <f>'[1]BE Projection'!$J249</f>
        <v>4.587488830194264E-2</v>
      </c>
      <c r="D237" s="1">
        <f t="shared" si="51"/>
        <v>4.6220600228028577E-4</v>
      </c>
      <c r="E237" s="19">
        <v>5.4063599999999998E-3</v>
      </c>
      <c r="F237" s="8">
        <f t="shared" si="52"/>
        <v>182967.32955738212</v>
      </c>
      <c r="G237" s="6">
        <f>F237*'[1]BE Projection'!$C$7</f>
        <v>716.24531103486743</v>
      </c>
      <c r="H237" s="6">
        <f t="shared" si="53"/>
        <v>183683.574868417</v>
      </c>
      <c r="I237" s="7">
        <f t="shared" si="54"/>
        <v>84.899650824482592</v>
      </c>
      <c r="J237" s="14">
        <f t="shared" si="55"/>
        <v>993.05953182561484</v>
      </c>
      <c r="K237">
        <v>80.618347962445654</v>
      </c>
      <c r="L237" s="8">
        <f t="shared" si="56"/>
        <v>1768.7522845711796</v>
      </c>
      <c r="M237" s="6">
        <f>L237*'[1]BE Projection'!$C$7</f>
        <v>6.9239712536166449</v>
      </c>
      <c r="N237" s="7">
        <f t="shared" si="57"/>
        <v>81.45894989637425</v>
      </c>
      <c r="O237" s="16"/>
    </row>
    <row r="238" spans="1:15" x14ac:dyDescent="0.25">
      <c r="A238">
        <v>234</v>
      </c>
      <c r="B238" s="1">
        <f t="shared" si="50"/>
        <v>9.1721513755756798E-3</v>
      </c>
      <c r="C238" s="1">
        <f>'[1]BE Projection'!$J250</f>
        <v>4.587488830194264E-2</v>
      </c>
      <c r="D238" s="1">
        <f t="shared" si="51"/>
        <v>4.4100235355319021E-4</v>
      </c>
      <c r="E238" s="19">
        <v>5.4063599999999998E-3</v>
      </c>
      <c r="F238" s="8">
        <f t="shared" si="52"/>
        <v>183683.574868417</v>
      </c>
      <c r="G238" s="6">
        <f>F238*'[1]BE Projection'!$C$7</f>
        <v>719.04913042065857</v>
      </c>
      <c r="H238" s="6">
        <f t="shared" si="53"/>
        <v>184402.62399883766</v>
      </c>
      <c r="I238" s="7">
        <f t="shared" si="54"/>
        <v>81.321991184871408</v>
      </c>
      <c r="J238" s="14">
        <f t="shared" si="55"/>
        <v>996.94697028235589</v>
      </c>
      <c r="K238">
        <v>80.933937162540204</v>
      </c>
      <c r="L238" s="8">
        <f t="shared" si="56"/>
        <v>1694.2173059284221</v>
      </c>
      <c r="M238" s="6">
        <f>L238*'[1]BE Projection'!$C$7</f>
        <v>6.6321960547868644</v>
      </c>
      <c r="N238" s="7">
        <f t="shared" si="57"/>
        <v>78.026280921894482</v>
      </c>
      <c r="O238" s="16"/>
    </row>
    <row r="239" spans="1:15" x14ac:dyDescent="0.25">
      <c r="A239">
        <v>235</v>
      </c>
      <c r="B239" s="1">
        <f t="shared" si="50"/>
        <v>8.7513799557326355E-3</v>
      </c>
      <c r="C239" s="1">
        <f>'[1]BE Projection'!$J251</f>
        <v>4.587488830194264E-2</v>
      </c>
      <c r="D239" s="1">
        <f t="shared" si="51"/>
        <v>4.2077141984304386E-4</v>
      </c>
      <c r="E239" s="19">
        <v>5.4063599999999998E-3</v>
      </c>
      <c r="F239" s="8">
        <f t="shared" si="52"/>
        <v>184402.62399883766</v>
      </c>
      <c r="G239" s="6">
        <f>F239*'[1]BE Projection'!$C$7</f>
        <v>721.8639256593134</v>
      </c>
      <c r="H239" s="6">
        <f t="shared" si="53"/>
        <v>185124.48792449696</v>
      </c>
      <c r="I239" s="7">
        <f t="shared" si="54"/>
        <v>77.895093631707013</v>
      </c>
      <c r="J239" s="14">
        <f t="shared" si="55"/>
        <v>1000.8496265354834</v>
      </c>
      <c r="K239">
        <v>81.250761770525543</v>
      </c>
      <c r="L239" s="8">
        <f t="shared" si="56"/>
        <v>1622.8232210613144</v>
      </c>
      <c r="M239" s="6">
        <f>L239*'[1]BE Projection'!$C$7</f>
        <v>6.3527162228114289</v>
      </c>
      <c r="N239" s="7">
        <f t="shared" si="57"/>
        <v>74.738264147121981</v>
      </c>
      <c r="O239" s="16"/>
    </row>
    <row r="240" spans="1:15" x14ac:dyDescent="0.25">
      <c r="A240">
        <v>236</v>
      </c>
      <c r="B240" s="1">
        <f t="shared" si="50"/>
        <v>8.3499113777755415E-3</v>
      </c>
      <c r="C240" s="1">
        <f>'[1]BE Projection'!$J252</f>
        <v>4.587488830194264E-2</v>
      </c>
      <c r="D240" s="1">
        <f t="shared" si="51"/>
        <v>4.0146857795709439E-4</v>
      </c>
      <c r="E240" s="19">
        <v>5.4063599999999998E-3</v>
      </c>
      <c r="F240" s="8">
        <f t="shared" si="52"/>
        <v>185124.48792449696</v>
      </c>
      <c r="G240" s="6">
        <f>F240*'[1]BE Projection'!$C$7</f>
        <v>724.68973971698949</v>
      </c>
      <c r="H240" s="6">
        <f t="shared" si="53"/>
        <v>185849.17766421396</v>
      </c>
      <c r="I240" s="7">
        <f t="shared" si="54"/>
        <v>74.61260507134736</v>
      </c>
      <c r="J240" s="14">
        <f t="shared" si="55"/>
        <v>1004.7675601566998</v>
      </c>
      <c r="K240">
        <v>81.568826622538836</v>
      </c>
      <c r="L240" s="8">
        <f t="shared" si="56"/>
        <v>1554.4376731370039</v>
      </c>
      <c r="M240" s="6">
        <f>L240*'[1]BE Projection'!$C$7</f>
        <v>6.0850136326177173</v>
      </c>
      <c r="N240" s="7">
        <f t="shared" si="57"/>
        <v>71.588803948203818</v>
      </c>
      <c r="O240" s="16"/>
    </row>
    <row r="241" spans="1:15" x14ac:dyDescent="0.25">
      <c r="A241">
        <v>237</v>
      </c>
      <c r="B241" s="1">
        <f t="shared" si="50"/>
        <v>7.9668601259889685E-3</v>
      </c>
      <c r="C241" s="1">
        <f>'[1]BE Projection'!$J253</f>
        <v>4.587488830194264E-2</v>
      </c>
      <c r="D241" s="1">
        <f t="shared" si="51"/>
        <v>3.8305125178657296E-4</v>
      </c>
      <c r="E241" s="19">
        <v>5.4063599999999998E-3</v>
      </c>
      <c r="F241" s="8">
        <f t="shared" si="52"/>
        <v>185849.17766421396</v>
      </c>
      <c r="G241" s="6">
        <f>F241*'[1]BE Projection'!$C$7</f>
        <v>727.52661572804027</v>
      </c>
      <c r="H241" s="6">
        <f t="shared" si="53"/>
        <v>186576.704279942</v>
      </c>
      <c r="I241" s="7">
        <f t="shared" si="54"/>
        <v>71.468440128645028</v>
      </c>
      <c r="J241" s="14">
        <f t="shared" si="55"/>
        <v>1008.7008309509072</v>
      </c>
      <c r="K241">
        <v>81.888136573648836</v>
      </c>
      <c r="L241" s="8">
        <f t="shared" si="56"/>
        <v>1488.9338828214179</v>
      </c>
      <c r="M241" s="6">
        <f>L241*'[1]BE Projection'!$C$7</f>
        <v>5.8285919928525942</v>
      </c>
      <c r="N241" s="7">
        <f t="shared" si="57"/>
        <v>68.572061570040006</v>
      </c>
      <c r="O241" s="16"/>
    </row>
    <row r="242" spans="1:15" x14ac:dyDescent="0.25">
      <c r="A242">
        <v>238</v>
      </c>
      <c r="B242" s="1">
        <f t="shared" si="50"/>
        <v>7.6013813075920238E-3</v>
      </c>
      <c r="C242" s="1">
        <f>'[1]BE Projection'!$J254</f>
        <v>4.587488830194264E-2</v>
      </c>
      <c r="D242" s="1">
        <f t="shared" si="51"/>
        <v>3.6547881839694459E-4</v>
      </c>
      <c r="E242" s="19">
        <v>5.4063599999999998E-3</v>
      </c>
      <c r="F242" s="8">
        <f t="shared" si="52"/>
        <v>186576.704279942</v>
      </c>
      <c r="G242" s="6">
        <f>F242*'[1]BE Projection'!$C$7</f>
        <v>730.37459699567341</v>
      </c>
      <c r="H242" s="6">
        <f t="shared" si="53"/>
        <v>187307.07887693768</v>
      </c>
      <c r="I242" s="7">
        <f t="shared" si="54"/>
        <v>68.456769865326478</v>
      </c>
      <c r="J242" s="14">
        <f t="shared" si="55"/>
        <v>1012.6494989571207</v>
      </c>
      <c r="K242">
        <v>82.208696497929949</v>
      </c>
      <c r="L242" s="8">
        <f t="shared" si="56"/>
        <v>1426.1904132442305</v>
      </c>
      <c r="M242" s="6">
        <f>L242*'[1]BE Projection'!$C$7</f>
        <v>5.5829759258124652</v>
      </c>
      <c r="N242" s="7">
        <f t="shared" si="57"/>
        <v>65.682444301869566</v>
      </c>
      <c r="O242" s="16"/>
    </row>
    <row r="243" spans="1:15" x14ac:dyDescent="0.25">
      <c r="A243">
        <v>239</v>
      </c>
      <c r="B243" s="1">
        <f t="shared" si="50"/>
        <v>7.2526687891657652E-3</v>
      </c>
      <c r="C243" s="1">
        <f>'[1]BE Projection'!$J255</f>
        <v>4.587488830194264E-2</v>
      </c>
      <c r="D243" s="1">
        <f t="shared" si="51"/>
        <v>3.4871251842625878E-4</v>
      </c>
      <c r="E243" s="19">
        <v>5.4063599999999998E-3</v>
      </c>
      <c r="F243" s="8">
        <f t="shared" si="52"/>
        <v>187307.07887693768</v>
      </c>
      <c r="G243" s="6">
        <f>F243*'[1]BE Projection'!$C$7</f>
        <v>733.23372699261131</v>
      </c>
      <c r="H243" s="6">
        <f t="shared" si="53"/>
        <v>188040.3126039303</v>
      </c>
      <c r="I243" s="7">
        <f t="shared" si="54"/>
        <v>65.572010973777509</v>
      </c>
      <c r="J243" s="14">
        <f t="shared" si="55"/>
        <v>1016.6136244493846</v>
      </c>
      <c r="K243">
        <v>82.530511288536701</v>
      </c>
      <c r="L243" s="8">
        <f t="shared" si="56"/>
        <v>1366.0909448681734</v>
      </c>
      <c r="M243" s="6">
        <f>L243*'[1]BE Projection'!$C$7</f>
        <v>5.3477100861449571</v>
      </c>
      <c r="N243" s="7">
        <f t="shared" si="57"/>
        <v>62.914595108995805</v>
      </c>
      <c r="O243" s="16"/>
    </row>
    <row r="244" spans="1:15" x14ac:dyDescent="0.25">
      <c r="A244">
        <v>240</v>
      </c>
      <c r="B244" s="1">
        <f t="shared" si="50"/>
        <v>6.9199534185718E-3</v>
      </c>
      <c r="C244" s="1">
        <f>'[1]BE Projection'!$J256</f>
        <v>1</v>
      </c>
      <c r="D244" s="1">
        <f t="shared" si="51"/>
        <v>7.2526687891657652E-3</v>
      </c>
      <c r="E244" s="19">
        <v>5.4063599999999998E-3</v>
      </c>
      <c r="F244" s="8">
        <f t="shared" si="52"/>
        <v>188040.3126039303</v>
      </c>
      <c r="G244" s="6">
        <f>F244*'[1]BE Projection'!$C$7</f>
        <v>736.1040493617553</v>
      </c>
      <c r="H244" s="6">
        <f t="shared" si="53"/>
        <v>188776.41665329205</v>
      </c>
      <c r="I244" s="7">
        <f t="shared" si="54"/>
        <v>1369.1328251918837</v>
      </c>
      <c r="J244" s="14">
        <f t="shared" si="55"/>
        <v>1020.593267937692</v>
      </c>
      <c r="K244">
        <v>109.47078666446291</v>
      </c>
      <c r="L244" s="8">
        <f t="shared" si="56"/>
        <v>1308.5240598453224</v>
      </c>
      <c r="M244" s="6">
        <f>L244*'[1]BE Projection'!$C$7</f>
        <v>5.1223583166883824</v>
      </c>
      <c r="N244" s="7">
        <f t="shared" si="57"/>
        <v>1313.6464181620108</v>
      </c>
      <c r="O244" s="16"/>
    </row>
    <row r="245" spans="1:15" x14ac:dyDescent="0.25">
      <c r="A245">
        <v>241</v>
      </c>
      <c r="B245" s="1">
        <f t="shared" si="50"/>
        <v>0</v>
      </c>
      <c r="C245" s="1">
        <f>'[1]BE Projection'!$J257</f>
        <v>1</v>
      </c>
      <c r="D245" s="1">
        <f t="shared" si="51"/>
        <v>6.9199534185718E-3</v>
      </c>
      <c r="E245" s="19">
        <v>5.4063599999999998E-3</v>
      </c>
      <c r="F245" s="8">
        <f t="shared" si="52"/>
        <v>188776.41665329205</v>
      </c>
      <c r="G245" s="6">
        <f>F245*'[1]BE Projection'!$C$7</f>
        <v>738.98560791685122</v>
      </c>
      <c r="H245" s="6">
        <f t="shared" si="53"/>
        <v>189515.40226120889</v>
      </c>
      <c r="I245" s="7">
        <f t="shared" si="54"/>
        <v>1311.4377557494622</v>
      </c>
      <c r="J245" s="14">
        <f t="shared" si="55"/>
        <v>1024.5884901689092</v>
      </c>
      <c r="K245">
        <v>109.89932184125971</v>
      </c>
      <c r="L245" s="8">
        <f t="shared" si="56"/>
        <v>0</v>
      </c>
      <c r="M245" s="6">
        <f>L245*'[1]BE Projection'!$C$7</f>
        <v>0</v>
      </c>
      <c r="N245" s="7">
        <f t="shared" si="57"/>
        <v>0</v>
      </c>
      <c r="O245" s="16"/>
    </row>
    <row r="246" spans="1:15" ht="15.75" thickBot="1" x14ac:dyDescent="0.3">
      <c r="B246" s="1"/>
      <c r="C246" s="1"/>
      <c r="D246" s="1"/>
      <c r="E246" s="19"/>
      <c r="F246" s="9"/>
      <c r="G246" s="10"/>
      <c r="H246" s="10"/>
      <c r="I246" s="11"/>
      <c r="J246" s="15"/>
      <c r="K246">
        <v>110.32953456512961</v>
      </c>
      <c r="L246" s="9"/>
      <c r="M246" s="10"/>
      <c r="N246" s="11"/>
      <c r="O246" s="17"/>
    </row>
    <row r="247" spans="1:15" ht="15.75" thickBot="1" x14ac:dyDescent="0.3">
      <c r="B247" s="1"/>
      <c r="C247" s="1"/>
      <c r="D247" s="1"/>
      <c r="E247" s="19"/>
      <c r="F247" s="9"/>
      <c r="G247" s="10"/>
      <c r="H247" s="10"/>
      <c r="I247" s="11"/>
      <c r="J247" s="15"/>
      <c r="K247">
        <v>110.7614314030112</v>
      </c>
      <c r="L247" s="9"/>
      <c r="M247" s="10"/>
      <c r="N247" s="11"/>
      <c r="O247" s="17"/>
    </row>
    <row r="248" spans="1:15" ht="15.75" thickBot="1" x14ac:dyDescent="0.3">
      <c r="B248" s="1"/>
      <c r="C248" s="1"/>
      <c r="D248" s="1"/>
      <c r="E248" s="19"/>
      <c r="F248" s="9"/>
      <c r="G248" s="10"/>
      <c r="H248" s="10"/>
      <c r="I248" s="11"/>
      <c r="J248" s="15"/>
      <c r="K248">
        <v>111.1950189475499</v>
      </c>
      <c r="L248" s="9"/>
      <c r="M248" s="10"/>
      <c r="N248" s="11"/>
      <c r="O248" s="17"/>
    </row>
    <row r="249" spans="1:15" ht="15.75" thickBot="1" x14ac:dyDescent="0.3">
      <c r="B249" s="1"/>
      <c r="C249" s="1"/>
      <c r="D249" s="1"/>
      <c r="E249" s="19"/>
      <c r="F249" s="9"/>
      <c r="G249" s="10"/>
      <c r="H249" s="10"/>
      <c r="I249" s="11"/>
      <c r="J249" s="15"/>
      <c r="K249">
        <v>111.63030381719889</v>
      </c>
      <c r="L249" s="9"/>
      <c r="M249" s="10"/>
      <c r="N249" s="11"/>
      <c r="O249" s="17"/>
    </row>
    <row r="250" spans="1:15" ht="15.75" thickBot="1" x14ac:dyDescent="0.3">
      <c r="B250" s="1"/>
      <c r="C250" s="1"/>
      <c r="D250" s="1"/>
      <c r="E250" s="19"/>
      <c r="F250" s="9"/>
      <c r="G250" s="10"/>
      <c r="H250" s="10"/>
      <c r="I250" s="11"/>
      <c r="J250" s="15"/>
      <c r="K250">
        <v>112.06729265632011</v>
      </c>
      <c r="L250" s="9"/>
      <c r="M250" s="10"/>
      <c r="N250" s="11"/>
      <c r="O250" s="17"/>
    </row>
    <row r="251" spans="1:15" ht="15.75" thickBot="1" x14ac:dyDescent="0.3">
      <c r="B251" s="1"/>
      <c r="C251" s="1"/>
      <c r="D251" s="1"/>
      <c r="E251" s="19"/>
      <c r="F251" s="9"/>
      <c r="G251" s="10"/>
      <c r="H251" s="10"/>
      <c r="I251" s="11"/>
      <c r="J251" s="15"/>
      <c r="K251">
        <v>112.5059921352854</v>
      </c>
      <c r="L251" s="9"/>
      <c r="M251" s="10"/>
      <c r="N251" s="11"/>
      <c r="O251" s="17"/>
    </row>
    <row r="252" spans="1:15" ht="15.75" thickBot="1" x14ac:dyDescent="0.3">
      <c r="B252" s="1"/>
      <c r="C252" s="1"/>
      <c r="D252" s="1"/>
      <c r="E252" s="19"/>
      <c r="F252" s="9"/>
      <c r="G252" s="10"/>
      <c r="H252" s="10"/>
      <c r="I252" s="11"/>
      <c r="J252" s="15"/>
      <c r="K252">
        <v>112.9464089505786</v>
      </c>
      <c r="L252" s="9"/>
      <c r="M252" s="10"/>
      <c r="N252" s="11"/>
      <c r="O252" s="17"/>
    </row>
    <row r="253" spans="1:15" ht="15.75" thickBot="1" x14ac:dyDescent="0.3">
      <c r="B253" s="1"/>
      <c r="C253" s="1"/>
      <c r="D253" s="1"/>
      <c r="E253" s="19"/>
      <c r="F253" s="9"/>
      <c r="G253" s="10"/>
      <c r="H253" s="10"/>
      <c r="I253" s="11"/>
      <c r="J253" s="15"/>
      <c r="K253">
        <v>113.3885498248975</v>
      </c>
      <c r="L253" s="9"/>
      <c r="M253" s="10"/>
      <c r="N253" s="11"/>
      <c r="O253" s="17"/>
    </row>
    <row r="254" spans="1:15" ht="15.75" thickBot="1" x14ac:dyDescent="0.3">
      <c r="B254" s="1"/>
      <c r="C254" s="1"/>
      <c r="D254" s="1"/>
      <c r="E254" s="19"/>
      <c r="F254" s="9"/>
      <c r="G254" s="10"/>
      <c r="H254" s="10"/>
      <c r="I254" s="11"/>
      <c r="J254" s="15"/>
      <c r="K254">
        <v>113.8324215072568</v>
      </c>
      <c r="L254" s="9"/>
      <c r="M254" s="10"/>
      <c r="N254" s="11"/>
      <c r="O254" s="17"/>
    </row>
    <row r="255" spans="1:15" ht="15.75" thickBot="1" x14ac:dyDescent="0.3">
      <c r="B255" s="1"/>
      <c r="C255" s="1"/>
      <c r="D255" s="1"/>
      <c r="E255" s="19"/>
      <c r="F255" s="9"/>
      <c r="G255" s="10"/>
      <c r="H255" s="10"/>
      <c r="I255" s="11"/>
      <c r="J255" s="15"/>
      <c r="K255">
        <v>114.2780307730909</v>
      </c>
      <c r="L255" s="9"/>
      <c r="M255" s="10"/>
      <c r="N255" s="11"/>
      <c r="O255" s="17"/>
    </row>
    <row r="256" spans="1:15" ht="15.75" thickBot="1" x14ac:dyDescent="0.3">
      <c r="B256" s="1"/>
      <c r="C256" s="1"/>
      <c r="D256" s="1"/>
      <c r="E256" s="19"/>
      <c r="F256" s="9"/>
      <c r="G256" s="10"/>
      <c r="H256" s="10"/>
      <c r="I256" s="11"/>
      <c r="J256" s="15"/>
      <c r="K256">
        <v>0</v>
      </c>
      <c r="L256" s="9"/>
      <c r="M256" s="10"/>
      <c r="N256" s="11"/>
      <c r="O256" s="17"/>
    </row>
    <row r="257" spans="2:15" ht="15.75" thickBot="1" x14ac:dyDescent="0.3">
      <c r="B257" s="1"/>
      <c r="C257" s="1"/>
      <c r="D257" s="1"/>
      <c r="E257" s="19"/>
      <c r="F257" s="9"/>
      <c r="G257" s="10"/>
      <c r="H257" s="10"/>
      <c r="I257" s="11"/>
      <c r="J257" s="15"/>
      <c r="K257">
        <v>0</v>
      </c>
      <c r="L257" s="9"/>
      <c r="M257" s="10"/>
      <c r="N257" s="11"/>
      <c r="O257" s="17"/>
    </row>
    <row r="258" spans="2:15" ht="15.75" thickBot="1" x14ac:dyDescent="0.3">
      <c r="B258" s="1"/>
      <c r="C258" s="1"/>
      <c r="D258" s="1"/>
      <c r="E258" s="19"/>
      <c r="F258" s="9"/>
      <c r="G258" s="10"/>
      <c r="H258" s="10"/>
      <c r="I258" s="11"/>
      <c r="J258" s="15"/>
      <c r="K258">
        <v>0</v>
      </c>
      <c r="L258" s="9"/>
      <c r="M258" s="10"/>
      <c r="N258" s="11"/>
      <c r="O258" s="17"/>
    </row>
    <row r="259" spans="2:15" ht="15.75" thickBot="1" x14ac:dyDescent="0.3">
      <c r="B259" s="1"/>
      <c r="C259" s="1"/>
      <c r="D259" s="1"/>
      <c r="E259" s="19"/>
      <c r="F259" s="9"/>
      <c r="G259" s="10"/>
      <c r="H259" s="10"/>
      <c r="I259" s="11"/>
      <c r="J259" s="15"/>
      <c r="K259">
        <v>0</v>
      </c>
      <c r="L259" s="9"/>
      <c r="M259" s="10"/>
      <c r="N259" s="11"/>
      <c r="O259" s="17"/>
    </row>
    <row r="260" spans="2:15" ht="15.75" thickBot="1" x14ac:dyDescent="0.3">
      <c r="B260" s="1"/>
      <c r="C260" s="1"/>
      <c r="D260" s="1"/>
      <c r="E260" s="19"/>
      <c r="F260" s="9"/>
      <c r="G260" s="10"/>
      <c r="H260" s="10"/>
      <c r="I260" s="11"/>
      <c r="J260" s="15"/>
      <c r="K260">
        <v>0</v>
      </c>
      <c r="L260" s="9"/>
      <c r="M260" s="10"/>
      <c r="N260" s="11"/>
      <c r="O260" s="17"/>
    </row>
    <row r="261" spans="2:15" ht="15.75" thickBot="1" x14ac:dyDescent="0.3">
      <c r="B261" s="1"/>
      <c r="C261" s="1"/>
      <c r="D261" s="1"/>
      <c r="E261" s="19"/>
      <c r="F261" s="9"/>
      <c r="G261" s="10"/>
      <c r="H261" s="10"/>
      <c r="I261" s="11"/>
      <c r="J261" s="15"/>
      <c r="K261">
        <v>0</v>
      </c>
      <c r="L261" s="9"/>
      <c r="M261" s="10"/>
      <c r="N261" s="11"/>
      <c r="O261" s="17"/>
    </row>
    <row r="262" spans="2:15" ht="15.75" thickBot="1" x14ac:dyDescent="0.3">
      <c r="B262" s="1"/>
      <c r="C262" s="1"/>
      <c r="D262" s="1"/>
      <c r="E262" s="19"/>
      <c r="F262" s="9"/>
      <c r="G262" s="10"/>
      <c r="H262" s="10"/>
      <c r="I262" s="11"/>
      <c r="J262" s="15"/>
      <c r="K262">
        <v>0</v>
      </c>
      <c r="L262" s="9"/>
      <c r="M262" s="10"/>
      <c r="N262" s="11"/>
      <c r="O262" s="17"/>
    </row>
    <row r="263" spans="2:15" ht="15.75" thickBot="1" x14ac:dyDescent="0.3">
      <c r="B263" s="1"/>
      <c r="C263" s="1"/>
      <c r="D263" s="1"/>
      <c r="E263" s="19"/>
      <c r="F263" s="9"/>
      <c r="G263" s="10"/>
      <c r="H263" s="10"/>
      <c r="I263" s="11"/>
      <c r="J263" s="15"/>
      <c r="K263">
        <v>0</v>
      </c>
      <c r="L263" s="9"/>
      <c r="M263" s="10"/>
      <c r="N263" s="11"/>
      <c r="O263" s="17"/>
    </row>
    <row r="264" spans="2:15" ht="15.75" thickBot="1" x14ac:dyDescent="0.3">
      <c r="B264" s="1"/>
      <c r="C264" s="1"/>
      <c r="D264" s="1"/>
      <c r="E264" s="19"/>
      <c r="F264" s="9"/>
      <c r="G264" s="10"/>
      <c r="H264" s="10"/>
      <c r="I264" s="11"/>
      <c r="J264" s="15"/>
      <c r="K264">
        <v>0</v>
      </c>
      <c r="L264" s="9"/>
      <c r="M264" s="10"/>
      <c r="N264" s="11"/>
      <c r="O264" s="17"/>
    </row>
    <row r="265" spans="2:15" ht="15.75" thickBot="1" x14ac:dyDescent="0.3">
      <c r="B265" s="1"/>
      <c r="C265" s="1"/>
      <c r="D265" s="1"/>
      <c r="E265" s="19"/>
      <c r="F265" s="9"/>
      <c r="G265" s="10"/>
      <c r="H265" s="10"/>
      <c r="I265" s="11"/>
      <c r="J265" s="15"/>
      <c r="K265">
        <v>0</v>
      </c>
      <c r="L265" s="9"/>
      <c r="M265" s="10"/>
      <c r="N265" s="11"/>
      <c r="O265" s="17"/>
    </row>
    <row r="266" spans="2:15" ht="15.75" thickBot="1" x14ac:dyDescent="0.3">
      <c r="B266" s="1"/>
      <c r="C266" s="1"/>
      <c r="D266" s="1"/>
      <c r="E266" s="19"/>
      <c r="F266" s="9"/>
      <c r="G266" s="10"/>
      <c r="H266" s="10"/>
      <c r="I266" s="11"/>
      <c r="J266" s="15"/>
      <c r="K266">
        <v>0</v>
      </c>
      <c r="L266" s="9"/>
      <c r="M266" s="10"/>
      <c r="N266" s="11"/>
      <c r="O266" s="17"/>
    </row>
    <row r="267" spans="2:15" ht="15.75" thickBot="1" x14ac:dyDescent="0.3">
      <c r="B267" s="1"/>
      <c r="C267" s="1"/>
      <c r="D267" s="1"/>
      <c r="E267" s="19"/>
      <c r="F267" s="9"/>
      <c r="G267" s="10"/>
      <c r="H267" s="10"/>
      <c r="I267" s="11"/>
      <c r="J267" s="15"/>
      <c r="K267">
        <v>0</v>
      </c>
      <c r="L267" s="9"/>
      <c r="M267" s="10"/>
      <c r="N267" s="11"/>
      <c r="O267" s="17"/>
    </row>
    <row r="268" spans="2:15" ht="15.75" thickBot="1" x14ac:dyDescent="0.3">
      <c r="B268" s="1"/>
      <c r="C268" s="1"/>
      <c r="D268" s="1"/>
      <c r="E268" s="19"/>
      <c r="F268" s="9"/>
      <c r="G268" s="10"/>
      <c r="H268" s="10"/>
      <c r="I268" s="11"/>
      <c r="J268" s="15"/>
      <c r="K268">
        <v>0</v>
      </c>
      <c r="L268" s="9"/>
      <c r="M268" s="10"/>
      <c r="N268" s="11"/>
      <c r="O268" s="17"/>
    </row>
    <row r="269" spans="2:15" ht="15.75" thickBot="1" x14ac:dyDescent="0.3">
      <c r="B269" s="1"/>
      <c r="C269" s="1"/>
      <c r="D269" s="1"/>
      <c r="E269" s="19"/>
      <c r="F269" s="9"/>
      <c r="G269" s="10"/>
      <c r="H269" s="10"/>
      <c r="I269" s="11"/>
      <c r="J269" s="15"/>
      <c r="K269">
        <v>0</v>
      </c>
      <c r="L269" s="9"/>
      <c r="M269" s="10"/>
      <c r="N269" s="11"/>
      <c r="O269" s="17"/>
    </row>
    <row r="270" spans="2:15" ht="15.75" thickBot="1" x14ac:dyDescent="0.3">
      <c r="B270" s="1"/>
      <c r="C270" s="1"/>
      <c r="D270" s="1"/>
      <c r="E270" s="19"/>
      <c r="F270" s="9"/>
      <c r="G270" s="10"/>
      <c r="H270" s="10"/>
      <c r="I270" s="11"/>
      <c r="J270" s="15"/>
      <c r="K270">
        <v>0</v>
      </c>
      <c r="L270" s="9"/>
      <c r="M270" s="10"/>
      <c r="N270" s="11"/>
      <c r="O270" s="17"/>
    </row>
    <row r="271" spans="2:15" ht="15.75" thickBot="1" x14ac:dyDescent="0.3">
      <c r="B271" s="1"/>
      <c r="C271" s="1"/>
      <c r="D271" s="1"/>
      <c r="E271" s="19"/>
      <c r="F271" s="9"/>
      <c r="G271" s="10"/>
      <c r="H271" s="10"/>
      <c r="I271" s="11"/>
      <c r="J271" s="15"/>
      <c r="K271">
        <v>0</v>
      </c>
      <c r="L271" s="9"/>
      <c r="M271" s="10"/>
      <c r="N271" s="11"/>
      <c r="O271" s="17"/>
    </row>
    <row r="272" spans="2:15" ht="15.75" thickBot="1" x14ac:dyDescent="0.3">
      <c r="B272" s="1"/>
      <c r="C272" s="1"/>
      <c r="D272" s="1"/>
      <c r="E272" s="19"/>
      <c r="F272" s="9"/>
      <c r="G272" s="10"/>
      <c r="H272" s="10"/>
      <c r="I272" s="11"/>
      <c r="J272" s="15"/>
      <c r="K272">
        <v>0</v>
      </c>
      <c r="L272" s="9"/>
      <c r="M272" s="10"/>
      <c r="N272" s="11"/>
      <c r="O272" s="17"/>
    </row>
    <row r="273" spans="2:15" ht="15.75" thickBot="1" x14ac:dyDescent="0.3">
      <c r="B273" s="1"/>
      <c r="C273" s="1"/>
      <c r="D273" s="1"/>
      <c r="E273" s="19"/>
      <c r="F273" s="9"/>
      <c r="G273" s="10"/>
      <c r="H273" s="10"/>
      <c r="I273" s="11"/>
      <c r="J273" s="15"/>
      <c r="K273">
        <v>0</v>
      </c>
      <c r="L273" s="9"/>
      <c r="M273" s="10"/>
      <c r="N273" s="11"/>
      <c r="O273" s="17"/>
    </row>
    <row r="274" spans="2:15" ht="15.75" thickBot="1" x14ac:dyDescent="0.3">
      <c r="B274" s="1"/>
      <c r="C274" s="1"/>
      <c r="D274" s="1"/>
      <c r="E274" s="19"/>
      <c r="F274" s="9"/>
      <c r="G274" s="10"/>
      <c r="H274" s="10"/>
      <c r="I274" s="11"/>
      <c r="J274" s="15"/>
      <c r="K274">
        <v>0</v>
      </c>
      <c r="L274" s="9"/>
      <c r="M274" s="10"/>
      <c r="N274" s="11"/>
      <c r="O274" s="17"/>
    </row>
    <row r="275" spans="2:15" ht="15.75" thickBot="1" x14ac:dyDescent="0.3">
      <c r="B275" s="1"/>
      <c r="C275" s="1"/>
      <c r="D275" s="1"/>
      <c r="E275" s="19"/>
      <c r="F275" s="9"/>
      <c r="G275" s="10"/>
      <c r="H275" s="10"/>
      <c r="I275" s="11"/>
      <c r="J275" s="15"/>
      <c r="K275">
        <v>0</v>
      </c>
      <c r="L275" s="9"/>
      <c r="M275" s="10"/>
      <c r="N275" s="11"/>
      <c r="O275" s="17"/>
    </row>
    <row r="276" spans="2:15" ht="15.75" thickBot="1" x14ac:dyDescent="0.3">
      <c r="B276" s="1"/>
      <c r="C276" s="1"/>
      <c r="D276" s="1"/>
      <c r="E276" s="19"/>
      <c r="F276" s="9"/>
      <c r="G276" s="10"/>
      <c r="H276" s="10"/>
      <c r="I276" s="11"/>
      <c r="J276" s="15"/>
      <c r="K276">
        <v>0</v>
      </c>
      <c r="L276" s="9"/>
      <c r="M276" s="10"/>
      <c r="N276" s="11"/>
      <c r="O276" s="17"/>
    </row>
    <row r="277" spans="2:15" ht="15.75" thickBot="1" x14ac:dyDescent="0.3">
      <c r="B277" s="1"/>
      <c r="C277" s="1"/>
      <c r="D277" s="1"/>
      <c r="E277" s="19"/>
      <c r="F277" s="9"/>
      <c r="G277" s="10"/>
      <c r="H277" s="10"/>
      <c r="I277" s="11"/>
      <c r="J277" s="15"/>
      <c r="K277">
        <v>0</v>
      </c>
      <c r="L277" s="9"/>
      <c r="M277" s="10"/>
      <c r="N277" s="11"/>
      <c r="O277" s="17"/>
    </row>
    <row r="278" spans="2:15" ht="15.75" thickBot="1" x14ac:dyDescent="0.3">
      <c r="B278" s="1"/>
      <c r="C278" s="1"/>
      <c r="D278" s="1"/>
      <c r="E278" s="19"/>
      <c r="F278" s="9"/>
      <c r="G278" s="10"/>
      <c r="H278" s="10"/>
      <c r="I278" s="11"/>
      <c r="J278" s="15"/>
      <c r="K278">
        <v>0</v>
      </c>
      <c r="L278" s="9"/>
      <c r="M278" s="10"/>
      <c r="N278" s="11"/>
      <c r="O278" s="17"/>
    </row>
    <row r="279" spans="2:15" ht="15.75" thickBot="1" x14ac:dyDescent="0.3">
      <c r="B279" s="1"/>
      <c r="C279" s="1"/>
      <c r="D279" s="1"/>
      <c r="E279" s="19"/>
      <c r="F279" s="9"/>
      <c r="G279" s="10"/>
      <c r="H279" s="10"/>
      <c r="I279" s="11"/>
      <c r="J279" s="15"/>
      <c r="K279">
        <v>0</v>
      </c>
      <c r="L279" s="9"/>
      <c r="M279" s="10"/>
      <c r="N279" s="11"/>
      <c r="O279" s="17"/>
    </row>
    <row r="280" spans="2:15" ht="15.75" thickBot="1" x14ac:dyDescent="0.3">
      <c r="B280" s="1"/>
      <c r="C280" s="1"/>
      <c r="D280" s="1"/>
      <c r="E280" s="19"/>
      <c r="F280" s="9"/>
      <c r="G280" s="10"/>
      <c r="H280" s="10"/>
      <c r="I280" s="11"/>
      <c r="J280" s="15"/>
      <c r="K280">
        <v>0</v>
      </c>
      <c r="L280" s="9"/>
      <c r="M280" s="10"/>
      <c r="N280" s="11"/>
      <c r="O280" s="17"/>
    </row>
    <row r="281" spans="2:15" ht="15.75" thickBot="1" x14ac:dyDescent="0.3">
      <c r="B281" s="1"/>
      <c r="C281" s="1"/>
      <c r="D281" s="1"/>
      <c r="E281" s="19"/>
      <c r="F281" s="9"/>
      <c r="G281" s="10"/>
      <c r="H281" s="10"/>
      <c r="I281" s="11"/>
      <c r="J281" s="15"/>
      <c r="K281">
        <v>0</v>
      </c>
      <c r="L281" s="9"/>
      <c r="M281" s="10"/>
      <c r="N281" s="11"/>
      <c r="O281" s="17"/>
    </row>
    <row r="282" spans="2:15" x14ac:dyDescent="0.25">
      <c r="K282">
        <v>0</v>
      </c>
    </row>
    <row r="283" spans="2:15" x14ac:dyDescent="0.25">
      <c r="K283">
        <v>0</v>
      </c>
    </row>
    <row r="284" spans="2:15" x14ac:dyDescent="0.25">
      <c r="K284">
        <v>0</v>
      </c>
    </row>
    <row r="285" spans="2:15" x14ac:dyDescent="0.25">
      <c r="K285">
        <v>0</v>
      </c>
    </row>
    <row r="286" spans="2:15" x14ac:dyDescent="0.25">
      <c r="K286">
        <v>0</v>
      </c>
    </row>
    <row r="287" spans="2:15" x14ac:dyDescent="0.25">
      <c r="K287">
        <v>0</v>
      </c>
    </row>
    <row r="288" spans="2:15" x14ac:dyDescent="0.25">
      <c r="K288">
        <v>0</v>
      </c>
    </row>
    <row r="289" spans="11:11" x14ac:dyDescent="0.25">
      <c r="K289">
        <v>0</v>
      </c>
    </row>
    <row r="290" spans="11:11" x14ac:dyDescent="0.25">
      <c r="K290">
        <v>0</v>
      </c>
    </row>
    <row r="291" spans="11:11" x14ac:dyDescent="0.25">
      <c r="K291">
        <v>0</v>
      </c>
    </row>
    <row r="292" spans="11:11" x14ac:dyDescent="0.25">
      <c r="K292">
        <v>0</v>
      </c>
    </row>
    <row r="293" spans="11:11" x14ac:dyDescent="0.25">
      <c r="K293">
        <v>0</v>
      </c>
    </row>
    <row r="294" spans="11:11" x14ac:dyDescent="0.25">
      <c r="K294">
        <v>0</v>
      </c>
    </row>
    <row r="295" spans="11:11" x14ac:dyDescent="0.25">
      <c r="K295">
        <v>0</v>
      </c>
    </row>
    <row r="296" spans="11:11" x14ac:dyDescent="0.25">
      <c r="K296">
        <v>0</v>
      </c>
    </row>
    <row r="297" spans="11:11" x14ac:dyDescent="0.25">
      <c r="K297">
        <v>0</v>
      </c>
    </row>
    <row r="298" spans="11:11" x14ac:dyDescent="0.25">
      <c r="K298">
        <v>0</v>
      </c>
    </row>
    <row r="299" spans="11:11" x14ac:dyDescent="0.25">
      <c r="K299">
        <v>0</v>
      </c>
    </row>
    <row r="300" spans="11:11" x14ac:dyDescent="0.25">
      <c r="K300">
        <v>0</v>
      </c>
    </row>
    <row r="301" spans="11:11" x14ac:dyDescent="0.25">
      <c r="K301">
        <v>0</v>
      </c>
    </row>
    <row r="302" spans="11:11" x14ac:dyDescent="0.25">
      <c r="K302">
        <v>0</v>
      </c>
    </row>
    <row r="303" spans="11:11" x14ac:dyDescent="0.25">
      <c r="K303">
        <v>0</v>
      </c>
    </row>
    <row r="304" spans="11:11" x14ac:dyDescent="0.25">
      <c r="K304">
        <v>0</v>
      </c>
    </row>
    <row r="305" spans="11:11" x14ac:dyDescent="0.25">
      <c r="K305">
        <v>0</v>
      </c>
    </row>
    <row r="306" spans="11:11" x14ac:dyDescent="0.25">
      <c r="K306">
        <v>0</v>
      </c>
    </row>
    <row r="307" spans="11:11" x14ac:dyDescent="0.25">
      <c r="K307">
        <v>0</v>
      </c>
    </row>
    <row r="308" spans="11:11" x14ac:dyDescent="0.25">
      <c r="K308">
        <v>0</v>
      </c>
    </row>
    <row r="309" spans="11:11" x14ac:dyDescent="0.25">
      <c r="K309">
        <v>0</v>
      </c>
    </row>
    <row r="310" spans="11:11" x14ac:dyDescent="0.25">
      <c r="K310">
        <v>0</v>
      </c>
    </row>
    <row r="311" spans="11:11" x14ac:dyDescent="0.25">
      <c r="K311">
        <v>0</v>
      </c>
    </row>
    <row r="312" spans="11:11" x14ac:dyDescent="0.25">
      <c r="K312">
        <v>0</v>
      </c>
    </row>
    <row r="313" spans="11:11" x14ac:dyDescent="0.25">
      <c r="K313">
        <v>0</v>
      </c>
    </row>
    <row r="314" spans="11:11" x14ac:dyDescent="0.25">
      <c r="K314">
        <v>0</v>
      </c>
    </row>
    <row r="315" spans="11:11" x14ac:dyDescent="0.25">
      <c r="K315">
        <v>0</v>
      </c>
    </row>
    <row r="316" spans="11:11" x14ac:dyDescent="0.25">
      <c r="K316">
        <v>0</v>
      </c>
    </row>
    <row r="317" spans="11:11" x14ac:dyDescent="0.25">
      <c r="K317">
        <v>0</v>
      </c>
    </row>
    <row r="318" spans="11:11" x14ac:dyDescent="0.25">
      <c r="K318">
        <v>0</v>
      </c>
    </row>
    <row r="319" spans="11:11" x14ac:dyDescent="0.25">
      <c r="K319">
        <v>0</v>
      </c>
    </row>
    <row r="320" spans="11:11" x14ac:dyDescent="0.25">
      <c r="K320">
        <v>0</v>
      </c>
    </row>
    <row r="321" spans="11:11" x14ac:dyDescent="0.25">
      <c r="K321">
        <v>0</v>
      </c>
    </row>
    <row r="322" spans="11:11" x14ac:dyDescent="0.25">
      <c r="K322">
        <v>0</v>
      </c>
    </row>
    <row r="323" spans="11:11" x14ac:dyDescent="0.25">
      <c r="K323">
        <v>0</v>
      </c>
    </row>
    <row r="324" spans="11:11" x14ac:dyDescent="0.25">
      <c r="K324">
        <v>0</v>
      </c>
    </row>
    <row r="325" spans="11:11" x14ac:dyDescent="0.25">
      <c r="K325">
        <v>0</v>
      </c>
    </row>
    <row r="326" spans="11:11" x14ac:dyDescent="0.25">
      <c r="K326">
        <v>0</v>
      </c>
    </row>
    <row r="327" spans="11:11" x14ac:dyDescent="0.25">
      <c r="K327">
        <v>0</v>
      </c>
    </row>
    <row r="328" spans="11:11" x14ac:dyDescent="0.25">
      <c r="K328">
        <v>0</v>
      </c>
    </row>
    <row r="329" spans="11:11" x14ac:dyDescent="0.25">
      <c r="K329">
        <v>0</v>
      </c>
    </row>
    <row r="330" spans="11:11" x14ac:dyDescent="0.25">
      <c r="K330">
        <v>0</v>
      </c>
    </row>
    <row r="331" spans="11:11" x14ac:dyDescent="0.25">
      <c r="K331">
        <v>0</v>
      </c>
    </row>
    <row r="332" spans="11:11" x14ac:dyDescent="0.25">
      <c r="K332">
        <v>0</v>
      </c>
    </row>
    <row r="333" spans="11:11" x14ac:dyDescent="0.25">
      <c r="K333">
        <v>0</v>
      </c>
    </row>
    <row r="334" spans="11:11" x14ac:dyDescent="0.25">
      <c r="K334">
        <v>0</v>
      </c>
    </row>
    <row r="335" spans="11:11" x14ac:dyDescent="0.25">
      <c r="K335">
        <v>0</v>
      </c>
    </row>
    <row r="336" spans="11:11" x14ac:dyDescent="0.25">
      <c r="K336">
        <v>0</v>
      </c>
    </row>
    <row r="337" spans="11:11" x14ac:dyDescent="0.25">
      <c r="K337">
        <v>0</v>
      </c>
    </row>
    <row r="338" spans="11:11" x14ac:dyDescent="0.25">
      <c r="K338">
        <v>0</v>
      </c>
    </row>
    <row r="339" spans="11:11" x14ac:dyDescent="0.25">
      <c r="K339">
        <v>0</v>
      </c>
    </row>
    <row r="340" spans="11:11" x14ac:dyDescent="0.25">
      <c r="K340">
        <v>0</v>
      </c>
    </row>
    <row r="341" spans="11:11" x14ac:dyDescent="0.25">
      <c r="K341">
        <v>0</v>
      </c>
    </row>
    <row r="342" spans="11:11" x14ac:dyDescent="0.25">
      <c r="K342">
        <v>0</v>
      </c>
    </row>
    <row r="343" spans="11:11" x14ac:dyDescent="0.25">
      <c r="K343">
        <v>0</v>
      </c>
    </row>
    <row r="344" spans="11:11" x14ac:dyDescent="0.25">
      <c r="K344">
        <v>0</v>
      </c>
    </row>
    <row r="345" spans="11:11" x14ac:dyDescent="0.25">
      <c r="K345">
        <v>0</v>
      </c>
    </row>
    <row r="346" spans="11:11" x14ac:dyDescent="0.25">
      <c r="K346">
        <v>0</v>
      </c>
    </row>
    <row r="347" spans="11:11" x14ac:dyDescent="0.25">
      <c r="K347">
        <v>0</v>
      </c>
    </row>
    <row r="348" spans="11:11" x14ac:dyDescent="0.25">
      <c r="K348">
        <v>0</v>
      </c>
    </row>
    <row r="349" spans="11:11" x14ac:dyDescent="0.25">
      <c r="K349">
        <v>0</v>
      </c>
    </row>
    <row r="350" spans="11:11" x14ac:dyDescent="0.25">
      <c r="K350">
        <v>0</v>
      </c>
    </row>
    <row r="351" spans="11:11" x14ac:dyDescent="0.25">
      <c r="K351">
        <v>0</v>
      </c>
    </row>
    <row r="352" spans="11:11" x14ac:dyDescent="0.25">
      <c r="K352">
        <v>0</v>
      </c>
    </row>
    <row r="353" spans="11:11" x14ac:dyDescent="0.25">
      <c r="K353">
        <v>0</v>
      </c>
    </row>
    <row r="354" spans="11:11" x14ac:dyDescent="0.25">
      <c r="K354">
        <v>0</v>
      </c>
    </row>
    <row r="355" spans="11:11" x14ac:dyDescent="0.25">
      <c r="K355">
        <v>0</v>
      </c>
    </row>
    <row r="356" spans="11:11" x14ac:dyDescent="0.25">
      <c r="K356">
        <v>0</v>
      </c>
    </row>
    <row r="357" spans="11:11" x14ac:dyDescent="0.25">
      <c r="K357">
        <v>0</v>
      </c>
    </row>
    <row r="358" spans="11:11" x14ac:dyDescent="0.25">
      <c r="K358">
        <v>0</v>
      </c>
    </row>
    <row r="359" spans="11:11" x14ac:dyDescent="0.25">
      <c r="K359">
        <v>0</v>
      </c>
    </row>
    <row r="360" spans="11:11" x14ac:dyDescent="0.25">
      <c r="K360">
        <v>0</v>
      </c>
    </row>
    <row r="361" spans="11:11" x14ac:dyDescent="0.25">
      <c r="K361">
        <v>0</v>
      </c>
    </row>
    <row r="362" spans="11:11" x14ac:dyDescent="0.25">
      <c r="K362">
        <v>0</v>
      </c>
    </row>
    <row r="363" spans="11:11" x14ac:dyDescent="0.25">
      <c r="K363">
        <v>0</v>
      </c>
    </row>
    <row r="364" spans="11:11" x14ac:dyDescent="0.25">
      <c r="K364">
        <v>0</v>
      </c>
    </row>
    <row r="365" spans="11:11" x14ac:dyDescent="0.25">
      <c r="K365">
        <v>0</v>
      </c>
    </row>
    <row r="366" spans="11:11" x14ac:dyDescent="0.25">
      <c r="K366">
        <v>0</v>
      </c>
    </row>
    <row r="367" spans="11:11" x14ac:dyDescent="0.25">
      <c r="K367">
        <v>0</v>
      </c>
    </row>
    <row r="368" spans="11:11" x14ac:dyDescent="0.25">
      <c r="K368">
        <v>0</v>
      </c>
    </row>
    <row r="369" spans="11:11" x14ac:dyDescent="0.25">
      <c r="K369">
        <v>0</v>
      </c>
    </row>
    <row r="370" spans="11:11" x14ac:dyDescent="0.25">
      <c r="K370">
        <v>0</v>
      </c>
    </row>
    <row r="371" spans="11:11" x14ac:dyDescent="0.25">
      <c r="K371">
        <v>0</v>
      </c>
    </row>
    <row r="372" spans="11:11" x14ac:dyDescent="0.25">
      <c r="K372">
        <v>0</v>
      </c>
    </row>
    <row r="373" spans="11:11" x14ac:dyDescent="0.25">
      <c r="K373">
        <v>0</v>
      </c>
    </row>
    <row r="374" spans="11:11" x14ac:dyDescent="0.25">
      <c r="K374">
        <v>0</v>
      </c>
    </row>
    <row r="375" spans="11:11" x14ac:dyDescent="0.25">
      <c r="K375">
        <v>0</v>
      </c>
    </row>
    <row r="376" spans="11:11" x14ac:dyDescent="0.25">
      <c r="K376">
        <v>0</v>
      </c>
    </row>
    <row r="377" spans="11:11" x14ac:dyDescent="0.25">
      <c r="K377">
        <v>0</v>
      </c>
    </row>
    <row r="378" spans="11:11" x14ac:dyDescent="0.25">
      <c r="K378">
        <v>0</v>
      </c>
    </row>
    <row r="379" spans="11:11" x14ac:dyDescent="0.25">
      <c r="K379">
        <v>0</v>
      </c>
    </row>
    <row r="380" spans="11:11" x14ac:dyDescent="0.25">
      <c r="K380">
        <v>0</v>
      </c>
    </row>
    <row r="381" spans="11:11" x14ac:dyDescent="0.25">
      <c r="K381">
        <v>0</v>
      </c>
    </row>
    <row r="382" spans="11:11" x14ac:dyDescent="0.25">
      <c r="K382">
        <v>0</v>
      </c>
    </row>
    <row r="383" spans="11:11" x14ac:dyDescent="0.25">
      <c r="K383">
        <v>0</v>
      </c>
    </row>
    <row r="384" spans="11:11" x14ac:dyDescent="0.25">
      <c r="K384">
        <v>0</v>
      </c>
    </row>
    <row r="385" spans="11:11" x14ac:dyDescent="0.25">
      <c r="K385">
        <v>0</v>
      </c>
    </row>
    <row r="386" spans="11:11" x14ac:dyDescent="0.25">
      <c r="K386">
        <v>0</v>
      </c>
    </row>
    <row r="387" spans="11:11" x14ac:dyDescent="0.25">
      <c r="K387">
        <v>0</v>
      </c>
    </row>
    <row r="388" spans="11:11" x14ac:dyDescent="0.25">
      <c r="K388">
        <v>0</v>
      </c>
    </row>
    <row r="389" spans="11:11" x14ac:dyDescent="0.25">
      <c r="K389">
        <v>0</v>
      </c>
    </row>
    <row r="390" spans="11:11" x14ac:dyDescent="0.25">
      <c r="K390">
        <v>0</v>
      </c>
    </row>
    <row r="391" spans="11:11" x14ac:dyDescent="0.25">
      <c r="K391">
        <v>0</v>
      </c>
    </row>
    <row r="392" spans="11:11" x14ac:dyDescent="0.25">
      <c r="K392">
        <v>0</v>
      </c>
    </row>
    <row r="393" spans="11:11" x14ac:dyDescent="0.25">
      <c r="K393">
        <v>0</v>
      </c>
    </row>
    <row r="394" spans="11:11" x14ac:dyDescent="0.25">
      <c r="K394">
        <v>0</v>
      </c>
    </row>
    <row r="395" spans="11:11" x14ac:dyDescent="0.25">
      <c r="K395">
        <v>0</v>
      </c>
    </row>
    <row r="396" spans="11:11" x14ac:dyDescent="0.25">
      <c r="K396">
        <v>0</v>
      </c>
    </row>
    <row r="397" spans="11:11" x14ac:dyDescent="0.25">
      <c r="K397">
        <v>0</v>
      </c>
    </row>
    <row r="398" spans="11:11" x14ac:dyDescent="0.25">
      <c r="K398">
        <v>0</v>
      </c>
    </row>
    <row r="399" spans="11:11" x14ac:dyDescent="0.25">
      <c r="K399">
        <v>0</v>
      </c>
    </row>
    <row r="400" spans="11:11" x14ac:dyDescent="0.25">
      <c r="K400">
        <v>0</v>
      </c>
    </row>
    <row r="401" spans="11:11" x14ac:dyDescent="0.25">
      <c r="K401">
        <v>0</v>
      </c>
    </row>
    <row r="402" spans="11:11" x14ac:dyDescent="0.25">
      <c r="K402">
        <v>0</v>
      </c>
    </row>
    <row r="403" spans="11:11" x14ac:dyDescent="0.25">
      <c r="K403">
        <v>0</v>
      </c>
    </row>
    <row r="404" spans="11:11" x14ac:dyDescent="0.25">
      <c r="K404">
        <v>0</v>
      </c>
    </row>
    <row r="405" spans="11:11" x14ac:dyDescent="0.25">
      <c r="K405">
        <v>0</v>
      </c>
    </row>
    <row r="406" spans="11:11" x14ac:dyDescent="0.25">
      <c r="K406">
        <v>0</v>
      </c>
    </row>
    <row r="407" spans="11:11" x14ac:dyDescent="0.25">
      <c r="K407">
        <v>0</v>
      </c>
    </row>
    <row r="408" spans="11:11" x14ac:dyDescent="0.25">
      <c r="K408">
        <v>0</v>
      </c>
    </row>
    <row r="409" spans="11:11" x14ac:dyDescent="0.25">
      <c r="K409">
        <v>0</v>
      </c>
    </row>
    <row r="410" spans="11:11" x14ac:dyDescent="0.25">
      <c r="K410">
        <v>0</v>
      </c>
    </row>
    <row r="411" spans="11:11" x14ac:dyDescent="0.25">
      <c r="K411">
        <v>0</v>
      </c>
    </row>
    <row r="412" spans="11:11" x14ac:dyDescent="0.25">
      <c r="K412">
        <v>0</v>
      </c>
    </row>
    <row r="413" spans="11:11" x14ac:dyDescent="0.25">
      <c r="K413">
        <v>0</v>
      </c>
    </row>
    <row r="414" spans="11:11" x14ac:dyDescent="0.25">
      <c r="K414">
        <v>0</v>
      </c>
    </row>
    <row r="415" spans="11:11" x14ac:dyDescent="0.25">
      <c r="K415">
        <v>0</v>
      </c>
    </row>
    <row r="416" spans="11:11" x14ac:dyDescent="0.25">
      <c r="K416">
        <v>0</v>
      </c>
    </row>
    <row r="417" spans="11:11" x14ac:dyDescent="0.25">
      <c r="K417">
        <v>0</v>
      </c>
    </row>
    <row r="418" spans="11:11" x14ac:dyDescent="0.25">
      <c r="K418">
        <v>0</v>
      </c>
    </row>
    <row r="419" spans="11:11" x14ac:dyDescent="0.25">
      <c r="K419">
        <v>0</v>
      </c>
    </row>
    <row r="420" spans="11:11" x14ac:dyDescent="0.25">
      <c r="K420">
        <v>0</v>
      </c>
    </row>
    <row r="421" spans="11:11" x14ac:dyDescent="0.25">
      <c r="K421">
        <v>0</v>
      </c>
    </row>
    <row r="422" spans="11:11" x14ac:dyDescent="0.25">
      <c r="K422">
        <v>0</v>
      </c>
    </row>
    <row r="423" spans="11:11" x14ac:dyDescent="0.25">
      <c r="K423">
        <v>0</v>
      </c>
    </row>
    <row r="424" spans="11:11" x14ac:dyDescent="0.25">
      <c r="K424">
        <v>0</v>
      </c>
    </row>
    <row r="425" spans="11:11" x14ac:dyDescent="0.25">
      <c r="K425">
        <v>0</v>
      </c>
    </row>
    <row r="426" spans="11:11" x14ac:dyDescent="0.25">
      <c r="K426">
        <v>0</v>
      </c>
    </row>
    <row r="427" spans="11:11" x14ac:dyDescent="0.25">
      <c r="K427">
        <v>0</v>
      </c>
    </row>
    <row r="428" spans="11:11" x14ac:dyDescent="0.25">
      <c r="K428">
        <v>0</v>
      </c>
    </row>
    <row r="429" spans="11:11" x14ac:dyDescent="0.25">
      <c r="K429">
        <v>0</v>
      </c>
    </row>
    <row r="430" spans="11:11" x14ac:dyDescent="0.25">
      <c r="K430">
        <v>0</v>
      </c>
    </row>
    <row r="431" spans="11:11" x14ac:dyDescent="0.25">
      <c r="K431">
        <v>0</v>
      </c>
    </row>
    <row r="432" spans="11:11" x14ac:dyDescent="0.25">
      <c r="K432">
        <v>0</v>
      </c>
    </row>
    <row r="433" spans="11:11" x14ac:dyDescent="0.25">
      <c r="K433">
        <v>0</v>
      </c>
    </row>
    <row r="434" spans="11:11" x14ac:dyDescent="0.25">
      <c r="K434">
        <v>0</v>
      </c>
    </row>
    <row r="435" spans="11:11" x14ac:dyDescent="0.25">
      <c r="K435">
        <v>0</v>
      </c>
    </row>
    <row r="436" spans="11:11" x14ac:dyDescent="0.25">
      <c r="K436">
        <v>0</v>
      </c>
    </row>
    <row r="437" spans="11:11" x14ac:dyDescent="0.25">
      <c r="K437">
        <v>0</v>
      </c>
    </row>
    <row r="438" spans="11:11" x14ac:dyDescent="0.25">
      <c r="K438">
        <v>0</v>
      </c>
    </row>
    <row r="439" spans="11:11" x14ac:dyDescent="0.25">
      <c r="K439">
        <v>0</v>
      </c>
    </row>
    <row r="440" spans="11:11" x14ac:dyDescent="0.25">
      <c r="K440">
        <v>0</v>
      </c>
    </row>
    <row r="441" spans="11:11" x14ac:dyDescent="0.25">
      <c r="K441">
        <v>0</v>
      </c>
    </row>
    <row r="442" spans="11:11" x14ac:dyDescent="0.25">
      <c r="K442">
        <v>0</v>
      </c>
    </row>
    <row r="443" spans="11:11" x14ac:dyDescent="0.25">
      <c r="K443">
        <v>0</v>
      </c>
    </row>
    <row r="444" spans="11:11" x14ac:dyDescent="0.25">
      <c r="K444">
        <v>0</v>
      </c>
    </row>
    <row r="445" spans="11:11" x14ac:dyDescent="0.25">
      <c r="K445">
        <v>0</v>
      </c>
    </row>
    <row r="446" spans="11:11" x14ac:dyDescent="0.25">
      <c r="K446">
        <v>0</v>
      </c>
    </row>
    <row r="447" spans="11:11" x14ac:dyDescent="0.25">
      <c r="K447">
        <v>0</v>
      </c>
    </row>
    <row r="448" spans="11:11" x14ac:dyDescent="0.25">
      <c r="K448">
        <v>0</v>
      </c>
    </row>
    <row r="449" spans="11:11" x14ac:dyDescent="0.25">
      <c r="K449">
        <v>0</v>
      </c>
    </row>
    <row r="450" spans="11:11" x14ac:dyDescent="0.25">
      <c r="K450">
        <v>0</v>
      </c>
    </row>
    <row r="451" spans="11:11" x14ac:dyDescent="0.25">
      <c r="K451">
        <v>0</v>
      </c>
    </row>
    <row r="452" spans="11:11" x14ac:dyDescent="0.25">
      <c r="K452">
        <v>0</v>
      </c>
    </row>
    <row r="453" spans="11:11" x14ac:dyDescent="0.25">
      <c r="K453">
        <v>0</v>
      </c>
    </row>
    <row r="454" spans="11:11" x14ac:dyDescent="0.25">
      <c r="K454">
        <v>0</v>
      </c>
    </row>
    <row r="455" spans="11:11" x14ac:dyDescent="0.25">
      <c r="K455">
        <v>0</v>
      </c>
    </row>
    <row r="456" spans="11:11" x14ac:dyDescent="0.25">
      <c r="K456">
        <v>0</v>
      </c>
    </row>
    <row r="457" spans="11:11" x14ac:dyDescent="0.25">
      <c r="K457">
        <v>0</v>
      </c>
    </row>
    <row r="458" spans="11:11" x14ac:dyDescent="0.25">
      <c r="K458">
        <v>0</v>
      </c>
    </row>
    <row r="459" spans="11:11" x14ac:dyDescent="0.25">
      <c r="K459">
        <v>0</v>
      </c>
    </row>
    <row r="460" spans="11:11" x14ac:dyDescent="0.25">
      <c r="K460">
        <v>0</v>
      </c>
    </row>
    <row r="461" spans="11:11" x14ac:dyDescent="0.25">
      <c r="K461">
        <v>0</v>
      </c>
    </row>
    <row r="462" spans="11:11" x14ac:dyDescent="0.25">
      <c r="K462">
        <v>0</v>
      </c>
    </row>
    <row r="463" spans="11:11" x14ac:dyDescent="0.25">
      <c r="K463">
        <v>0</v>
      </c>
    </row>
    <row r="464" spans="11:11" x14ac:dyDescent="0.25">
      <c r="K464">
        <v>0</v>
      </c>
    </row>
    <row r="465" spans="11:11" x14ac:dyDescent="0.25">
      <c r="K465">
        <v>0</v>
      </c>
    </row>
    <row r="466" spans="11:11" x14ac:dyDescent="0.25">
      <c r="K466">
        <v>0</v>
      </c>
    </row>
    <row r="467" spans="11:11" x14ac:dyDescent="0.25">
      <c r="K467">
        <v>0</v>
      </c>
    </row>
    <row r="468" spans="11:11" x14ac:dyDescent="0.25">
      <c r="K468">
        <v>0</v>
      </c>
    </row>
    <row r="469" spans="11:11" x14ac:dyDescent="0.25">
      <c r="K469">
        <v>0</v>
      </c>
    </row>
    <row r="470" spans="11:11" x14ac:dyDescent="0.25">
      <c r="K470">
        <v>0</v>
      </c>
    </row>
    <row r="471" spans="11:11" x14ac:dyDescent="0.25">
      <c r="K471">
        <v>0</v>
      </c>
    </row>
    <row r="472" spans="11:11" x14ac:dyDescent="0.25">
      <c r="K472">
        <v>0</v>
      </c>
    </row>
    <row r="473" spans="11:11" x14ac:dyDescent="0.25">
      <c r="K473">
        <v>0</v>
      </c>
    </row>
    <row r="474" spans="11:11" x14ac:dyDescent="0.25">
      <c r="K474">
        <v>0</v>
      </c>
    </row>
    <row r="475" spans="11:11" x14ac:dyDescent="0.25">
      <c r="K475">
        <v>0</v>
      </c>
    </row>
    <row r="476" spans="11:11" x14ac:dyDescent="0.25">
      <c r="K476">
        <v>0</v>
      </c>
    </row>
    <row r="477" spans="11:11" x14ac:dyDescent="0.25">
      <c r="K477">
        <v>0</v>
      </c>
    </row>
    <row r="478" spans="11:11" x14ac:dyDescent="0.25">
      <c r="K478">
        <v>0</v>
      </c>
    </row>
    <row r="479" spans="11:11" x14ac:dyDescent="0.25">
      <c r="K479">
        <v>0</v>
      </c>
    </row>
    <row r="480" spans="11:11" x14ac:dyDescent="0.25">
      <c r="K480">
        <v>0</v>
      </c>
    </row>
    <row r="481" spans="11:11" x14ac:dyDescent="0.25">
      <c r="K481">
        <v>0</v>
      </c>
    </row>
    <row r="482" spans="11:11" x14ac:dyDescent="0.25">
      <c r="K482">
        <v>0</v>
      </c>
    </row>
    <row r="483" spans="11:11" x14ac:dyDescent="0.25">
      <c r="K483">
        <v>0</v>
      </c>
    </row>
  </sheetData>
  <mergeCells count="2">
    <mergeCell ref="F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Nancarrow</dc:creator>
  <cp:lastModifiedBy>Ed Nancarrow</cp:lastModifiedBy>
  <dcterms:created xsi:type="dcterms:W3CDTF">2025-07-09T12:32:24Z</dcterms:created>
  <dcterms:modified xsi:type="dcterms:W3CDTF">2025-07-21T18:43:07Z</dcterms:modified>
</cp:coreProperties>
</file>